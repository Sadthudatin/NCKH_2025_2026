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guyenDucBinh\OneDrive - Phenikaa University\Documents\"/>
    </mc:Choice>
  </mc:AlternateContent>
  <xr:revisionPtr revIDLastSave="0" documentId="13_ncr:1_{A2AC7ECF-4792-477D-9E7A-50DC7466C641}" xr6:coauthVersionLast="47" xr6:coauthVersionMax="47" xr10:uidLastSave="{00000000-0000-0000-0000-000000000000}"/>
  <bookViews>
    <workbookView xWindow="-120" yWindow="-120" windowWidth="29040" windowHeight="15840" firstSheet="3" activeTab="3" xr2:uid="{57729231-8D39-4E30-8B8C-A0669D4AE555}"/>
  </bookViews>
  <sheets>
    <sheet name="Phân tích IN_1 &amp; IN_2 (2)" sheetId="16" r:id="rId1"/>
    <sheet name="IN_2 Analysis (3)" sheetId="9" r:id="rId2"/>
    <sheet name="IN_2 Analysis (2)" sheetId="5" r:id="rId3"/>
    <sheet name="Phân tích IN_1 &amp; IN_2" sheetId="10" r:id="rId4"/>
    <sheet name="mau do toc 300" sheetId="15" r:id="rId5"/>
    <sheet name="mau do toc 200" sheetId="14" r:id="rId6"/>
    <sheet name="mau do toc 100" sheetId="13" r:id="rId7"/>
  </sheets>
  <definedNames>
    <definedName name="ExternalData_1" localSheetId="6" hidden="1">'mau do toc 100'!$A$1:$S$994</definedName>
    <definedName name="ExternalData_1" localSheetId="5" hidden="1">'mau do toc 200'!$A$1:$S$994</definedName>
    <definedName name="ExternalData_2" localSheetId="4" hidden="1">'mau do toc 300'!$A$1:$S$994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5" i="9" l="1"/>
  <c r="E104" i="9"/>
  <c r="E103" i="9"/>
  <c r="E102" i="9"/>
  <c r="E101" i="9"/>
  <c r="E100" i="9"/>
  <c r="E99" i="9"/>
  <c r="E98" i="9"/>
  <c r="E97" i="9"/>
  <c r="E96" i="9"/>
  <c r="E95" i="9"/>
  <c r="E94" i="9"/>
  <c r="E93" i="9"/>
  <c r="E92" i="9"/>
  <c r="E91" i="9"/>
  <c r="E90" i="9"/>
  <c r="E89" i="9"/>
  <c r="E88" i="9"/>
  <c r="E87" i="9"/>
  <c r="E86" i="9"/>
  <c r="E85" i="9"/>
  <c r="E84" i="9"/>
  <c r="E83" i="9"/>
  <c r="E82" i="9"/>
  <c r="E81" i="9"/>
  <c r="E80" i="9"/>
  <c r="E79" i="9"/>
  <c r="E78" i="9"/>
  <c r="E77" i="9"/>
  <c r="E76" i="9"/>
  <c r="E75" i="9"/>
  <c r="E74" i="9"/>
  <c r="E73" i="9"/>
  <c r="E72" i="9"/>
  <c r="E71" i="9"/>
  <c r="E70" i="9"/>
  <c r="E69" i="9"/>
  <c r="E68" i="9"/>
  <c r="E67" i="9"/>
  <c r="E66" i="9"/>
  <c r="E65" i="9"/>
  <c r="E64" i="9"/>
  <c r="E52" i="9"/>
  <c r="E51" i="9"/>
  <c r="E50" i="9"/>
  <c r="E49" i="9"/>
  <c r="E48" i="9"/>
  <c r="E47" i="9"/>
  <c r="E46" i="9"/>
  <c r="E45" i="9"/>
  <c r="E44" i="9"/>
  <c r="E43" i="9"/>
  <c r="E42" i="9"/>
  <c r="E41" i="9"/>
  <c r="E40" i="9"/>
  <c r="E39" i="9"/>
  <c r="I38" i="9"/>
  <c r="E38" i="9"/>
  <c r="I37" i="9"/>
  <c r="E37" i="9"/>
  <c r="I36" i="9"/>
  <c r="E36" i="9"/>
  <c r="I35" i="9"/>
  <c r="E35" i="9"/>
  <c r="I34" i="9"/>
  <c r="E34" i="9"/>
  <c r="I33" i="9"/>
  <c r="E33" i="9"/>
  <c r="I32" i="9"/>
  <c r="E32" i="9"/>
  <c r="I31" i="9"/>
  <c r="E31" i="9"/>
  <c r="I30" i="9"/>
  <c r="E30" i="9"/>
  <c r="I29" i="9"/>
  <c r="E29" i="9"/>
  <c r="I28" i="9"/>
  <c r="E28" i="9"/>
  <c r="I27" i="9"/>
  <c r="E27" i="9"/>
  <c r="I26" i="9"/>
  <c r="E26" i="9"/>
  <c r="I25" i="9"/>
  <c r="E25" i="9"/>
  <c r="I24" i="9"/>
  <c r="E24" i="9"/>
  <c r="I23" i="9"/>
  <c r="E23" i="9"/>
  <c r="I22" i="9"/>
  <c r="E22" i="9"/>
  <c r="I21" i="9"/>
  <c r="E21" i="9"/>
  <c r="I20" i="9"/>
  <c r="E20" i="9"/>
  <c r="I19" i="9"/>
  <c r="E19" i="9"/>
  <c r="I18" i="9"/>
  <c r="E18" i="9"/>
  <c r="I17" i="9"/>
  <c r="E17" i="9"/>
  <c r="I16" i="9"/>
  <c r="E16" i="9"/>
  <c r="I15" i="9"/>
  <c r="E15" i="9"/>
  <c r="I14" i="9"/>
  <c r="E14" i="9"/>
  <c r="I13" i="9"/>
  <c r="E13" i="9"/>
  <c r="I12" i="9"/>
  <c r="E12" i="9"/>
  <c r="I11" i="9"/>
  <c r="E11" i="9"/>
  <c r="I10" i="9"/>
  <c r="E10" i="9"/>
  <c r="I9" i="9"/>
  <c r="E9" i="9"/>
  <c r="I8" i="9"/>
  <c r="E8" i="9"/>
  <c r="I7" i="9"/>
  <c r="E7" i="9"/>
  <c r="I6" i="9"/>
  <c r="E6" i="9"/>
  <c r="H5" i="9" a="1"/>
  <c r="H5" i="9" s="1"/>
  <c r="G5" i="9" a="1"/>
  <c r="G5" i="9" s="1"/>
  <c r="F5" i="9" a="1"/>
  <c r="F5" i="9" s="1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105" i="5"/>
  <c r="E104" i="5"/>
  <c r="E103" i="5"/>
  <c r="E102" i="5"/>
  <c r="E101" i="5"/>
  <c r="E100" i="5"/>
  <c r="E99" i="5"/>
  <c r="E98" i="5"/>
  <c r="E97" i="5"/>
  <c r="E96" i="5"/>
  <c r="E95" i="5"/>
  <c r="E94" i="5"/>
  <c r="E93" i="5"/>
  <c r="E92" i="5"/>
  <c r="E91" i="5"/>
  <c r="E90" i="5"/>
  <c r="E89" i="5"/>
  <c r="E88" i="5"/>
  <c r="E87" i="5"/>
  <c r="E86" i="5"/>
  <c r="E85" i="5"/>
  <c r="E84" i="5"/>
  <c r="E83" i="5"/>
  <c r="E82" i="5"/>
  <c r="E81" i="5"/>
  <c r="E80" i="5"/>
  <c r="E79" i="5"/>
  <c r="E78" i="5"/>
  <c r="E77" i="5"/>
  <c r="E76" i="5"/>
  <c r="E75" i="5"/>
  <c r="E74" i="5"/>
  <c r="E73" i="5"/>
  <c r="E72" i="5"/>
  <c r="E71" i="5"/>
  <c r="E70" i="5"/>
  <c r="E69" i="5"/>
  <c r="E68" i="5"/>
  <c r="E67" i="5"/>
  <c r="E66" i="5"/>
  <c r="E65" i="5"/>
  <c r="E64" i="5"/>
  <c r="E52" i="5"/>
  <c r="E51" i="5"/>
  <c r="I38" i="5"/>
  <c r="I37" i="5"/>
  <c r="I36" i="5"/>
  <c r="I35" i="5"/>
  <c r="I34" i="5"/>
  <c r="I33" i="5"/>
  <c r="I32" i="5"/>
  <c r="I31" i="5"/>
  <c r="I30" i="5"/>
  <c r="I29" i="5"/>
  <c r="I28" i="5"/>
  <c r="E28" i="5"/>
  <c r="I27" i="5"/>
  <c r="E27" i="5"/>
  <c r="I26" i="5"/>
  <c r="E26" i="5"/>
  <c r="I25" i="5"/>
  <c r="E25" i="5"/>
  <c r="I24" i="5"/>
  <c r="E24" i="5"/>
  <c r="I23" i="5"/>
  <c r="E23" i="5"/>
  <c r="I22" i="5"/>
  <c r="E22" i="5"/>
  <c r="I21" i="5"/>
  <c r="E21" i="5"/>
  <c r="I20" i="5"/>
  <c r="E20" i="5"/>
  <c r="I19" i="5"/>
  <c r="E19" i="5"/>
  <c r="I18" i="5"/>
  <c r="E18" i="5"/>
  <c r="I17" i="5"/>
  <c r="E17" i="5"/>
  <c r="I16" i="5"/>
  <c r="E16" i="5"/>
  <c r="I15" i="5"/>
  <c r="E15" i="5"/>
  <c r="I14" i="5"/>
  <c r="E14" i="5"/>
  <c r="I13" i="5"/>
  <c r="E13" i="5"/>
  <c r="I12" i="5"/>
  <c r="E12" i="5"/>
  <c r="I11" i="5"/>
  <c r="E11" i="5"/>
  <c r="I10" i="5"/>
  <c r="E10" i="5"/>
  <c r="I9" i="5"/>
  <c r="E9" i="5"/>
  <c r="I8" i="5"/>
  <c r="E8" i="5"/>
  <c r="I7" i="5"/>
  <c r="E7" i="5"/>
  <c r="I6" i="5"/>
  <c r="E6" i="5"/>
  <c r="H5" i="5" a="1"/>
  <c r="H5" i="5" s="1"/>
  <c r="G5" i="5" a="1"/>
  <c r="G5" i="5" s="1"/>
  <c r="F5" i="5" a="1"/>
  <c r="F5" i="5" s="1"/>
  <c r="H73" i="16" a="1"/>
  <c r="H66" i="16" a="1"/>
  <c r="H67" i="16" a="1"/>
  <c r="B73" i="16" a="1"/>
  <c r="H54" i="16" a="1"/>
  <c r="B76" i="16" a="1"/>
  <c r="H58" i="16" a="1"/>
  <c r="H59" i="16" a="1"/>
  <c r="B65" i="16" a="1"/>
  <c r="H46" i="16" a="1"/>
  <c r="B68" i="16" a="1"/>
  <c r="H50" i="16" a="1"/>
  <c r="H51" i="16" a="1"/>
  <c r="B57" i="16" a="1"/>
  <c r="B39" i="16" a="1"/>
  <c r="H65" i="16" a="1"/>
  <c r="H57" i="16" a="1"/>
  <c r="H38" i="16" a="1"/>
  <c r="H71" i="16" a="1"/>
  <c r="H49" i="16" a="1"/>
  <c r="H42" i="16" a="1"/>
  <c r="H43" i="16" a="1"/>
  <c r="B49" i="16" a="1"/>
  <c r="H7" i="16" a="1"/>
  <c r="B52" i="16" a="1"/>
  <c r="H9" i="16" a="1"/>
  <c r="B9" i="16" a="1"/>
  <c r="H69" i="16" a="1"/>
  <c r="B44" i="16" a="1"/>
  <c r="H72" i="16" a="1"/>
  <c r="B45" i="16" a="1"/>
  <c r="B5" i="16"/>
  <c r="H61" i="16" a="1"/>
  <c r="B75" i="16" a="1"/>
  <c r="H64" i="16" a="1"/>
  <c r="B71" i="16" a="1"/>
  <c r="B72" i="16" a="1"/>
  <c r="H53" i="16" a="1"/>
  <c r="B67" i="16" a="1"/>
  <c r="H56" i="16" a="1"/>
  <c r="B63" i="16" a="1"/>
  <c r="B64" i="16" a="1"/>
  <c r="H45" i="16" a="1"/>
  <c r="B59" i="16" a="1"/>
  <c r="H48" i="16" a="1"/>
  <c r="B55" i="16" a="1"/>
  <c r="B56" i="16" a="1"/>
  <c r="H37" i="16" a="1"/>
  <c r="B51" i="16" a="1"/>
  <c r="H40" i="16" a="1"/>
  <c r="B43" i="16" a="1"/>
  <c r="H10" i="16" a="1"/>
  <c r="H76" i="16" a="1"/>
  <c r="B69" i="16" a="1"/>
  <c r="H41" i="16" a="1"/>
  <c r="B10" i="16" a="1"/>
  <c r="H6" i="16" a="1"/>
  <c r="B70" i="16" a="1"/>
  <c r="B62" i="16" a="1"/>
  <c r="B54" i="16" a="1"/>
  <c r="B47" i="16" a="1"/>
  <c r="B48" i="16" a="1"/>
  <c r="B74" i="16" a="1"/>
  <c r="B46" i="16" a="1"/>
  <c r="B38" i="16" a="1"/>
  <c r="H5" i="16"/>
  <c r="H68" i="16" a="1"/>
  <c r="B58" i="16" a="1"/>
  <c r="H63" i="16" a="1"/>
  <c r="B40" i="16" a="1"/>
  <c r="H60" i="16" a="1"/>
  <c r="B50" i="16" a="1"/>
  <c r="H55" i="16" a="1"/>
  <c r="B66" i="16" a="1"/>
  <c r="B6" i="16" a="1"/>
  <c r="Q13" i="16"/>
  <c r="B61" i="16" a="1"/>
  <c r="H52" i="16" a="1"/>
  <c r="B42" i="16" a="1"/>
  <c r="H47" i="16" a="1"/>
  <c r="B37" i="16" a="1"/>
  <c r="H44" i="16" a="1"/>
  <c r="H70" i="16" a="1"/>
  <c r="H39" i="16" a="1"/>
  <c r="H75" i="16" a="1"/>
  <c r="B41" i="16" a="1"/>
  <c r="H62" i="16" a="1"/>
  <c r="B7" i="16" a="1"/>
  <c r="B60" i="16" a="1"/>
  <c r="B53" i="16" a="1"/>
  <c r="H74" i="16" a="1"/>
  <c r="B6" i="5"/>
  <c r="B13" i="5" a="1"/>
  <c r="B5" i="5"/>
  <c r="H10" i="10" a="1"/>
  <c r="B9" i="10" a="1"/>
  <c r="H9" i="10" a="1"/>
  <c r="H6" i="10" a="1"/>
  <c r="B10" i="10" a="1"/>
  <c r="B7" i="5"/>
  <c r="H5" i="10"/>
  <c r="B6" i="10" a="1"/>
  <c r="B5" i="10"/>
  <c r="B6" i="9"/>
  <c r="Q13" i="10"/>
  <c r="B13" i="9" a="1"/>
  <c r="B5" i="9"/>
  <c r="B7" i="9"/>
  <c r="H74" i="16" l="1"/>
  <c r="B53" i="16"/>
  <c r="B60" i="16"/>
  <c r="B7" i="16"/>
  <c r="H62" i="16"/>
  <c r="B41" i="16"/>
  <c r="H75" i="16"/>
  <c r="H39" i="16"/>
  <c r="H70" i="16"/>
  <c r="H44" i="16"/>
  <c r="B37" i="16"/>
  <c r="H47" i="16"/>
  <c r="B42" i="16"/>
  <c r="H52" i="16"/>
  <c r="B61" i="16"/>
  <c r="B6" i="16"/>
  <c r="V3" i="16" s="1"/>
  <c r="B66" i="16"/>
  <c r="H55" i="16"/>
  <c r="B50" i="16"/>
  <c r="H60" i="16"/>
  <c r="B40" i="16"/>
  <c r="H63" i="16"/>
  <c r="B58" i="16"/>
  <c r="H68" i="16"/>
  <c r="B38" i="16"/>
  <c r="B46" i="16"/>
  <c r="B74" i="16"/>
  <c r="B48" i="16"/>
  <c r="B47" i="16"/>
  <c r="B54" i="16"/>
  <c r="B62" i="16"/>
  <c r="B70" i="16"/>
  <c r="H6" i="16"/>
  <c r="B10" i="16"/>
  <c r="H41" i="16"/>
  <c r="B69" i="16"/>
  <c r="H76" i="16"/>
  <c r="H10" i="16"/>
  <c r="B43" i="16"/>
  <c r="H40" i="16"/>
  <c r="B51" i="16"/>
  <c r="H37" i="16"/>
  <c r="B56" i="16"/>
  <c r="B55" i="16"/>
  <c r="H48" i="16"/>
  <c r="B59" i="16"/>
  <c r="H45" i="16"/>
  <c r="B64" i="16"/>
  <c r="B63" i="16"/>
  <c r="H56" i="16"/>
  <c r="B67" i="16"/>
  <c r="H53" i="16"/>
  <c r="B72" i="16"/>
  <c r="B71" i="16"/>
  <c r="H64" i="16"/>
  <c r="B75" i="16"/>
  <c r="H61" i="16"/>
  <c r="B45" i="16"/>
  <c r="H72" i="16"/>
  <c r="B44" i="16"/>
  <c r="H69" i="16"/>
  <c r="B9" i="16"/>
  <c r="H9" i="16"/>
  <c r="B52" i="16"/>
  <c r="H7" i="16"/>
  <c r="B49" i="16"/>
  <c r="H43" i="16"/>
  <c r="H42" i="16"/>
  <c r="H49" i="16"/>
  <c r="H71" i="16"/>
  <c r="H38" i="16"/>
  <c r="H57" i="16"/>
  <c r="H65" i="16"/>
  <c r="B39" i="16"/>
  <c r="B57" i="16"/>
  <c r="H51" i="16"/>
  <c r="H50" i="16"/>
  <c r="B68" i="16"/>
  <c r="H46" i="16"/>
  <c r="B65" i="16"/>
  <c r="H59" i="16"/>
  <c r="H58" i="16"/>
  <c r="B76" i="16"/>
  <c r="H54" i="16"/>
  <c r="B73" i="16"/>
  <c r="H67" i="16"/>
  <c r="H66" i="16"/>
  <c r="H73" i="16"/>
  <c r="H10" i="10"/>
  <c r="H9" i="10"/>
  <c r="H6" i="10"/>
  <c r="B10" i="10"/>
  <c r="B9" i="10"/>
  <c r="B6" i="10"/>
  <c r="B8" i="9"/>
  <c r="B30" i="9" s="1"/>
  <c r="L12" i="9"/>
  <c r="B13" i="9"/>
  <c r="E5" i="9"/>
  <c r="I5" i="9"/>
  <c r="L12" i="5"/>
  <c r="B8" i="5"/>
  <c r="B30" i="5" s="1"/>
  <c r="B13" i="5"/>
  <c r="L10" i="5" s="1"/>
  <c r="L13" i="5" s="1"/>
  <c r="I5" i="5"/>
  <c r="E5" i="5"/>
  <c r="H37" i="10" a="1"/>
  <c r="H168" i="10" a="1"/>
  <c r="H192" i="10" a="1"/>
  <c r="H177" i="10" a="1"/>
  <c r="H183" i="10" a="1"/>
  <c r="H121" i="10" a="1"/>
  <c r="H106" i="10" a="1"/>
  <c r="H118" i="10" a="1"/>
  <c r="H60" i="10" a="1"/>
  <c r="H135" i="10" a="1"/>
  <c r="H83" i="10" a="1"/>
  <c r="B57" i="10" a="1"/>
  <c r="B58" i="10" a="1"/>
  <c r="B151" i="10" a="1"/>
  <c r="B144" i="10" a="1"/>
  <c r="B123" i="10" a="1"/>
  <c r="B71" i="10" a="1"/>
  <c r="B126" i="10" a="1"/>
  <c r="B102" i="10" a="1"/>
  <c r="B179" i="10" a="1"/>
  <c r="B119" i="10" a="1"/>
  <c r="B205" i="10" a="1"/>
  <c r="B148" i="10" a="1"/>
  <c r="B94" i="10" a="1"/>
  <c r="B140" i="10" a="1"/>
  <c r="B46" i="10" a="1"/>
  <c r="H47" i="10" a="1"/>
  <c r="B66" i="10" a="1"/>
  <c r="B122" i="10" a="1"/>
  <c r="B145" i="10" a="1"/>
  <c r="H205" i="10" a="1"/>
  <c r="B157" i="10" a="1"/>
  <c r="B190" i="10" a="1"/>
  <c r="H108" i="10" a="1"/>
  <c r="H112" i="10" a="1"/>
  <c r="H110" i="10" a="1"/>
  <c r="H95" i="10" a="1"/>
  <c r="H125" i="10" a="1"/>
  <c r="H55" i="10" a="1"/>
  <c r="H40" i="10" a="1"/>
  <c r="H133" i="10" a="1"/>
  <c r="H46" i="10" a="1"/>
  <c r="H202" i="10" a="1"/>
  <c r="H49" i="10" a="1"/>
  <c r="B59" i="10" a="1"/>
  <c r="B111" i="10" a="1"/>
  <c r="B135" i="10" a="1"/>
  <c r="B180" i="10" a="1"/>
  <c r="B62" i="10" a="1"/>
  <c r="B178" i="10" a="1"/>
  <c r="B206" i="10" a="1"/>
  <c r="B52" i="10" a="1"/>
  <c r="B113" i="10" a="1"/>
  <c r="B146" i="10" a="1"/>
  <c r="B165" i="10" a="1"/>
  <c r="B133" i="10" a="1"/>
  <c r="B75" i="10" a="1"/>
  <c r="B175" i="10" a="1"/>
  <c r="B134" i="10" a="1"/>
  <c r="B187" i="10" a="1"/>
  <c r="H181" i="10" a="1"/>
  <c r="B74" i="10" a="1"/>
  <c r="B138" i="10" a="1"/>
  <c r="Q15" i="10" a="1"/>
  <c r="B143" i="10" a="1"/>
  <c r="B177" i="10" a="1"/>
  <c r="B63" i="10" a="1"/>
  <c r="B158" i="10" a="1"/>
  <c r="H204" i="10" a="1"/>
  <c r="B108" i="10" a="1"/>
  <c r="H42" i="10" a="1"/>
  <c r="H86" i="10" a="1"/>
  <c r="H71" i="10" a="1"/>
  <c r="H166" i="10" a="1"/>
  <c r="H178" i="10" a="1"/>
  <c r="H126" i="10" a="1"/>
  <c r="H127" i="10" a="1"/>
  <c r="H179" i="10" a="1"/>
  <c r="H157" i="10" a="1"/>
  <c r="H54" i="10" a="1"/>
  <c r="H136" i="10" a="1"/>
  <c r="B171" i="10" a="1"/>
  <c r="B61" i="10" a="1"/>
  <c r="B85" i="10" a="1"/>
  <c r="B149" i="10" a="1"/>
  <c r="B114" i="10" a="1"/>
  <c r="B67" i="10" a="1"/>
  <c r="B131" i="10" a="1"/>
  <c r="H45" i="10" a="1"/>
  <c r="H174" i="10" a="1"/>
  <c r="H59" i="10" a="1"/>
  <c r="H148" i="10" a="1"/>
  <c r="B176" i="10" a="1"/>
  <c r="B93" i="10" a="1"/>
  <c r="B68" i="10" a="1"/>
  <c r="B100" i="10" a="1"/>
  <c r="H145" i="10" a="1"/>
  <c r="H128" i="10" a="1"/>
  <c r="H87" i="10" a="1"/>
  <c r="H52" i="10" a="1"/>
  <c r="H131" i="10" a="1"/>
  <c r="H84" i="10" a="1"/>
  <c r="H198" i="10" a="1"/>
  <c r="H138" i="10" a="1"/>
  <c r="H201" i="10" a="1"/>
  <c r="H123" i="10" a="1"/>
  <c r="H38" i="10" a="1"/>
  <c r="B139" i="10" a="1"/>
  <c r="B89" i="10" a="1"/>
  <c r="B186" i="10" a="1"/>
  <c r="B117" i="10" a="1"/>
  <c r="B83" i="10" a="1"/>
  <c r="B99" i="10" a="1"/>
  <c r="B60" i="10" a="1"/>
  <c r="B154" i="10" a="1"/>
  <c r="B43" i="10" a="1"/>
  <c r="B84" i="10" a="1"/>
  <c r="H150" i="10" a="1"/>
  <c r="H111" i="10" a="1"/>
  <c r="B202" i="10" a="1"/>
  <c r="B103" i="10" a="1"/>
  <c r="B191" i="10" a="1"/>
  <c r="H43" i="10" a="1"/>
  <c r="H80" i="10" a="1"/>
  <c r="H78" i="10" a="1"/>
  <c r="H114" i="10" a="1"/>
  <c r="B56" i="10" a="1"/>
  <c r="B185" i="10" a="1"/>
  <c r="B182" i="10" a="1"/>
  <c r="B198" i="10" a="1"/>
  <c r="B189" i="10" a="1"/>
  <c r="H63" i="10" a="1"/>
  <c r="H200" i="10" a="1"/>
  <c r="H195" i="10" a="1"/>
  <c r="H171" i="10" a="1"/>
  <c r="H194" i="10" a="1"/>
  <c r="H153" i="10" a="1"/>
  <c r="H109" i="10" a="1"/>
  <c r="H72" i="10" a="1"/>
  <c r="H167" i="10" a="1"/>
  <c r="B130" i="10" a="1"/>
  <c r="B69" i="10" a="1"/>
  <c r="H175" i="10" a="1"/>
  <c r="H151" i="10" a="1"/>
  <c r="H152" i="10" a="1"/>
  <c r="B48" i="10" a="1"/>
  <c r="H97" i="10" a="1"/>
  <c r="B167" i="10" a="1"/>
  <c r="H134" i="10" a="1"/>
  <c r="H129" i="10" a="1"/>
  <c r="H132" i="10" a="1"/>
  <c r="H105" i="10" a="1"/>
  <c r="H147" i="10" a="1"/>
  <c r="H154" i="10" a="1"/>
  <c r="H102" i="10" a="1"/>
  <c r="H159" i="10" a="1"/>
  <c r="H160" i="10" a="1"/>
  <c r="H67" i="10" a="1"/>
  <c r="H162" i="10" a="1"/>
  <c r="B53" i="10" a="1"/>
  <c r="B192" i="10" a="1"/>
  <c r="B72" i="10" a="1"/>
  <c r="B106" i="10" a="1"/>
  <c r="B120" i="10" a="1"/>
  <c r="B136" i="10" a="1"/>
  <c r="B65" i="10" a="1"/>
  <c r="B64" i="10" a="1"/>
  <c r="B142" i="10" a="1"/>
  <c r="B47" i="10" a="1"/>
  <c r="B9" i="9" a="1"/>
  <c r="B124" i="10" a="1"/>
  <c r="B118" i="10" a="1"/>
  <c r="H99" i="10" a="1"/>
  <c r="H197" i="10" a="1"/>
  <c r="B87" i="10" a="1"/>
  <c r="B41" i="10" a="1"/>
  <c r="H189" i="10" a="1"/>
  <c r="H190" i="10" a="1"/>
  <c r="H93" i="10" a="1"/>
  <c r="H39" i="10" a="1"/>
  <c r="H107" i="10" a="1"/>
  <c r="H119" i="10" a="1"/>
  <c r="H117" i="10" a="1"/>
  <c r="H196" i="10" a="1"/>
  <c r="H149" i="10" a="1"/>
  <c r="H186" i="10" a="1"/>
  <c r="H115" i="10" a="1"/>
  <c r="B188" i="10" a="1"/>
  <c r="B128" i="10" a="1"/>
  <c r="B77" i="10" a="1"/>
  <c r="B104" i="10" a="1"/>
  <c r="B38" i="10" a="1"/>
  <c r="B54" i="10" a="1"/>
  <c r="B168" i="10" a="1"/>
  <c r="B82" i="10" a="1"/>
  <c r="B98" i="10" a="1"/>
  <c r="B166" i="10" a="1"/>
  <c r="B10" i="9" a="1"/>
  <c r="B107" i="10" a="1"/>
  <c r="H139" i="10" a="1"/>
  <c r="H53" i="10" a="1"/>
  <c r="H44" i="10" a="1"/>
  <c r="H206" i="10" a="1"/>
  <c r="H92" i="10" a="1"/>
  <c r="H146" i="10" a="1"/>
  <c r="H188" i="10" a="1"/>
  <c r="H116" i="10" a="1"/>
  <c r="H165" i="10" a="1"/>
  <c r="H120" i="10" a="1"/>
  <c r="H184" i="10" a="1"/>
  <c r="B42" i="10" a="1"/>
  <c r="B127" i="10" a="1"/>
  <c r="B196" i="10" a="1"/>
  <c r="B159" i="10" a="1"/>
  <c r="B125" i="10" a="1"/>
  <c r="B169" i="10" a="1"/>
  <c r="B86" i="10" a="1"/>
  <c r="B132" i="10" a="1"/>
  <c r="B55" i="10" a="1"/>
  <c r="B116" i="10" a="1"/>
  <c r="B10" i="5" a="1"/>
  <c r="H156" i="10" a="1"/>
  <c r="H170" i="10" a="1"/>
  <c r="B95" i="10" a="1"/>
  <c r="B51" i="10" a="1"/>
  <c r="B115" i="10" a="1"/>
  <c r="B163" i="10" a="1"/>
  <c r="H61" i="10" a="1"/>
  <c r="H155" i="10" a="1"/>
  <c r="H89" i="10" a="1"/>
  <c r="H74" i="10" a="1"/>
  <c r="H172" i="10" a="1"/>
  <c r="H48" i="10" a="1"/>
  <c r="B50" i="10" a="1"/>
  <c r="B96" i="10" a="1"/>
  <c r="H73" i="10" a="1"/>
  <c r="H124" i="10" a="1"/>
  <c r="H91" i="10" a="1"/>
  <c r="H137" i="10" a="1"/>
  <c r="H85" i="10" a="1"/>
  <c r="H65" i="10" a="1"/>
  <c r="H122" i="10" a="1"/>
  <c r="H82" i="10" a="1"/>
  <c r="H51" i="10" a="1"/>
  <c r="H203" i="10" a="1"/>
  <c r="H144" i="10" a="1"/>
  <c r="B40" i="10" a="1"/>
  <c r="B105" i="10" a="1"/>
  <c r="B101" i="10" a="1"/>
  <c r="B109" i="10" a="1"/>
  <c r="B153" i="10" a="1"/>
  <c r="B44" i="10" a="1"/>
  <c r="B173" i="10" a="1"/>
  <c r="B92" i="10" a="1"/>
  <c r="B78" i="10" a="1"/>
  <c r="B193" i="10" a="1"/>
  <c r="B9" i="5" a="1"/>
  <c r="H142" i="10" a="1"/>
  <c r="H169" i="10" a="1"/>
  <c r="H113" i="10" a="1"/>
  <c r="B112" i="10" a="1"/>
  <c r="B199" i="10" a="1"/>
  <c r="B201" i="10" a="1"/>
  <c r="H182" i="10" a="1"/>
  <c r="B141" i="10" a="1"/>
  <c r="H98" i="10" a="1"/>
  <c r="H101" i="10" a="1"/>
  <c r="H62" i="10" a="1"/>
  <c r="B121" i="10" a="1"/>
  <c r="B81" i="10" a="1"/>
  <c r="H187" i="10" a="1"/>
  <c r="B155" i="10" a="1"/>
  <c r="B184" i="10" a="1"/>
  <c r="H176" i="10" a="1"/>
  <c r="H58" i="10" a="1"/>
  <c r="H76" i="10" a="1"/>
  <c r="H96" i="10" a="1"/>
  <c r="H56" i="10" a="1"/>
  <c r="H77" i="10" a="1"/>
  <c r="B137" i="10" a="1"/>
  <c r="H185" i="10" a="1"/>
  <c r="H141" i="10" a="1"/>
  <c r="B110" i="10" a="1"/>
  <c r="B80" i="10" a="1"/>
  <c r="B161" i="10" a="1"/>
  <c r="H70" i="10" a="1"/>
  <c r="H158" i="10" a="1"/>
  <c r="H161" i="10" a="1"/>
  <c r="H41" i="10" a="1"/>
  <c r="H199" i="10" a="1"/>
  <c r="H90" i="10" a="1"/>
  <c r="H81" i="10" a="1"/>
  <c r="H143" i="10" a="1"/>
  <c r="H103" i="10" a="1"/>
  <c r="H104" i="10" a="1"/>
  <c r="H164" i="10" a="1"/>
  <c r="B37" i="10" a="1"/>
  <c r="B45" i="10" a="1"/>
  <c r="B183" i="10" a="1"/>
  <c r="B90" i="10" a="1"/>
  <c r="B160" i="10" a="1"/>
  <c r="B197" i="10" a="1"/>
  <c r="B49" i="10" a="1"/>
  <c r="B39" i="10" a="1"/>
  <c r="B97" i="10" a="1"/>
  <c r="B195" i="10" a="1"/>
  <c r="B156" i="10" a="1"/>
  <c r="H66" i="10" a="1"/>
  <c r="H64" i="10" a="1"/>
  <c r="B76" i="10" a="1"/>
  <c r="H69" i="10" a="1"/>
  <c r="B204" i="10" a="1"/>
  <c r="B147" i="10" a="1"/>
  <c r="H140" i="10" a="1"/>
  <c r="B203" i="10" a="1"/>
  <c r="Q15" i="16" a="1"/>
  <c r="B164" i="10" a="1"/>
  <c r="H50" i="10" a="1"/>
  <c r="H79" i="10" a="1"/>
  <c r="H163" i="10" a="1"/>
  <c r="H88" i="10" a="1"/>
  <c r="H193" i="10" a="1"/>
  <c r="H75" i="10" a="1"/>
  <c r="H180" i="10" a="1"/>
  <c r="H94" i="10" a="1"/>
  <c r="H191" i="10" a="1"/>
  <c r="H130" i="10" a="1"/>
  <c r="B172" i="10" a="1"/>
  <c r="B73" i="10" a="1"/>
  <c r="B91" i="10" a="1"/>
  <c r="B88" i="10" a="1"/>
  <c r="B181" i="10" a="1"/>
  <c r="B162" i="10" a="1"/>
  <c r="B152" i="10" a="1"/>
  <c r="B194" i="10" a="1"/>
  <c r="B200" i="10" a="1"/>
  <c r="B129" i="10" a="1"/>
  <c r="B170" i="10" a="1"/>
  <c r="H57" i="10" a="1"/>
  <c r="H100" i="10" a="1"/>
  <c r="B70" i="10" a="1"/>
  <c r="H173" i="10" a="1"/>
  <c r="B174" i="10" a="1"/>
  <c r="B150" i="10" a="1"/>
  <c r="H68" i="10" a="1"/>
  <c r="B79" i="10" a="1"/>
  <c r="Q15" i="16" l="1"/>
  <c r="E39" i="16"/>
  <c r="C39" i="16" a="1"/>
  <c r="C39" i="16" s="1"/>
  <c r="D39" i="16" a="1"/>
  <c r="D39" i="16" s="1"/>
  <c r="D45" i="16" a="1"/>
  <c r="D45" i="16" s="1"/>
  <c r="C45" i="16" a="1"/>
  <c r="C45" i="16" s="1"/>
  <c r="E45" i="16"/>
  <c r="D56" i="16" a="1"/>
  <c r="D56" i="16" s="1"/>
  <c r="C56" i="16" a="1"/>
  <c r="C56" i="16" s="1"/>
  <c r="E56" i="16"/>
  <c r="E74" i="16"/>
  <c r="D74" i="16" a="1"/>
  <c r="D74" i="16" s="1"/>
  <c r="C74" i="16" a="1"/>
  <c r="C74" i="16" s="1"/>
  <c r="E54" i="16"/>
  <c r="C54" i="16" a="1"/>
  <c r="C54" i="16" s="1"/>
  <c r="D54" i="16" a="1"/>
  <c r="D54" i="16" s="1"/>
  <c r="C47" i="16" a="1"/>
  <c r="C47" i="16" s="1"/>
  <c r="D47" i="16" a="1"/>
  <c r="D47" i="16" s="1"/>
  <c r="E47" i="16"/>
  <c r="C46" i="16" a="1"/>
  <c r="C46" i="16" s="1"/>
  <c r="E46" i="16"/>
  <c r="D46" i="16" a="1"/>
  <c r="D46" i="16" s="1"/>
  <c r="E37" i="16"/>
  <c r="E51" i="16"/>
  <c r="D51" i="16" a="1"/>
  <c r="D51" i="16" s="1"/>
  <c r="C51" i="16" a="1"/>
  <c r="C51" i="16" s="1"/>
  <c r="D38" i="16" a="1"/>
  <c r="D38" i="16" s="1"/>
  <c r="E38" i="16"/>
  <c r="C38" i="16" a="1"/>
  <c r="C38" i="16" s="1"/>
  <c r="C62" i="16" a="1"/>
  <c r="C62" i="16" s="1"/>
  <c r="E62" i="16"/>
  <c r="D62" i="16" a="1"/>
  <c r="D62" i="16" s="1"/>
  <c r="C59" i="16" a="1"/>
  <c r="C59" i="16" s="1"/>
  <c r="E59" i="16"/>
  <c r="D59" i="16" a="1"/>
  <c r="D59" i="16" s="1"/>
  <c r="D42" i="16" a="1"/>
  <c r="D42" i="16" s="1"/>
  <c r="E42" i="16"/>
  <c r="C42" i="16" a="1"/>
  <c r="C42" i="16" s="1"/>
  <c r="E75" i="16"/>
  <c r="C75" i="16" a="1"/>
  <c r="C75" i="16" s="1"/>
  <c r="D75" i="16" a="1"/>
  <c r="D75" i="16" s="1"/>
  <c r="E57" i="16"/>
  <c r="D57" i="16" a="1"/>
  <c r="D57" i="16" s="1"/>
  <c r="C57" i="16" a="1"/>
  <c r="C57" i="16" s="1"/>
  <c r="E43" i="16"/>
  <c r="D43" i="16" a="1"/>
  <c r="D43" i="16" s="1"/>
  <c r="C43" i="16" a="1"/>
  <c r="C43" i="16" s="1"/>
  <c r="E58" i="16"/>
  <c r="D58" i="16" a="1"/>
  <c r="D58" i="16" s="1"/>
  <c r="C58" i="16" a="1"/>
  <c r="C58" i="16" s="1"/>
  <c r="E48" i="16"/>
  <c r="C48" i="16" a="1"/>
  <c r="C48" i="16" s="1"/>
  <c r="D48" i="16" a="1"/>
  <c r="D48" i="16" s="1"/>
  <c r="C73" i="16" a="1"/>
  <c r="C73" i="16" s="1"/>
  <c r="E73" i="16"/>
  <c r="D73" i="16" a="1"/>
  <c r="D73" i="16" s="1"/>
  <c r="D71" i="16" a="1"/>
  <c r="D71" i="16" s="1"/>
  <c r="C71" i="16" a="1"/>
  <c r="C71" i="16" s="1"/>
  <c r="E71" i="16"/>
  <c r="E72" i="16"/>
  <c r="D72" i="16" a="1"/>
  <c r="D72" i="16" s="1"/>
  <c r="C72" i="16" a="1"/>
  <c r="C72" i="16" s="1"/>
  <c r="K76" i="16"/>
  <c r="E40" i="16"/>
  <c r="D40" i="16" a="1"/>
  <c r="D40" i="16" s="1"/>
  <c r="C40" i="16" a="1"/>
  <c r="C40" i="16" s="1"/>
  <c r="E41" i="16"/>
  <c r="D41" i="16" a="1"/>
  <c r="D41" i="16" s="1"/>
  <c r="C41" i="16" a="1"/>
  <c r="C41" i="16" s="1"/>
  <c r="D76" i="16" a="1"/>
  <c r="D76" i="16" s="1"/>
  <c r="E76" i="16"/>
  <c r="C76" i="16" a="1"/>
  <c r="C76" i="16" s="1"/>
  <c r="E69" i="16"/>
  <c r="C69" i="16" a="1"/>
  <c r="C69" i="16" s="1"/>
  <c r="D69" i="16" a="1"/>
  <c r="D69" i="16" s="1"/>
  <c r="B11" i="16"/>
  <c r="H28" i="16"/>
  <c r="E44" i="16"/>
  <c r="D44" i="16" a="1"/>
  <c r="D44" i="16" s="1"/>
  <c r="C44" i="16" a="1"/>
  <c r="C44" i="16" s="1"/>
  <c r="C49" i="16" a="1"/>
  <c r="C49" i="16" s="1"/>
  <c r="E49" i="16"/>
  <c r="D49" i="16" a="1"/>
  <c r="D49" i="16" s="1"/>
  <c r="E67" i="16"/>
  <c r="D67" i="16" a="1"/>
  <c r="D67" i="16" s="1"/>
  <c r="C67" i="16" a="1"/>
  <c r="C67" i="16" s="1"/>
  <c r="E50" i="16"/>
  <c r="D50" i="16" a="1"/>
  <c r="D50" i="16" s="1"/>
  <c r="C50" i="16" a="1"/>
  <c r="C50" i="16" s="1"/>
  <c r="E61" i="16"/>
  <c r="D61" i="16" a="1"/>
  <c r="D61" i="16" s="1"/>
  <c r="C61" i="16" a="1"/>
  <c r="C61" i="16" s="1"/>
  <c r="C55" i="16" a="1"/>
  <c r="C55" i="16" s="1"/>
  <c r="E55" i="16"/>
  <c r="D55" i="16" a="1"/>
  <c r="D55" i="16" s="1"/>
  <c r="E60" i="16"/>
  <c r="D60" i="16" a="1"/>
  <c r="D60" i="16" s="1"/>
  <c r="C60" i="16" a="1"/>
  <c r="C60" i="16" s="1"/>
  <c r="D65" i="16" a="1"/>
  <c r="D65" i="16" s="1"/>
  <c r="C65" i="16" a="1"/>
  <c r="C65" i="16" s="1"/>
  <c r="E65" i="16"/>
  <c r="E52" i="16"/>
  <c r="D52" i="16" a="1"/>
  <c r="D52" i="16" s="1"/>
  <c r="C52" i="16" a="1"/>
  <c r="C52" i="16" s="1"/>
  <c r="C63" i="16" a="1"/>
  <c r="C63" i="16" s="1"/>
  <c r="D63" i="16" a="1"/>
  <c r="D63" i="16" s="1"/>
  <c r="E63" i="16"/>
  <c r="V7" i="16"/>
  <c r="I26" i="16"/>
  <c r="H8" i="16"/>
  <c r="I27" i="16" s="1"/>
  <c r="V6" i="16"/>
  <c r="C66" i="16" a="1"/>
  <c r="C66" i="16" s="1"/>
  <c r="E66" i="16"/>
  <c r="D66" i="16" a="1"/>
  <c r="D66" i="16" s="1"/>
  <c r="E53" i="16"/>
  <c r="D53" i="16" a="1"/>
  <c r="D53" i="16" s="1"/>
  <c r="C53" i="16" a="1"/>
  <c r="C53" i="16" s="1"/>
  <c r="E68" i="16"/>
  <c r="C68" i="16" a="1"/>
  <c r="C68" i="16" s="1"/>
  <c r="D68" i="16" a="1"/>
  <c r="D68" i="16" s="1"/>
  <c r="H11" i="16"/>
  <c r="I28" i="16"/>
  <c r="D64" i="16" a="1"/>
  <c r="D64" i="16" s="1"/>
  <c r="C64" i="16" a="1"/>
  <c r="C64" i="16" s="1"/>
  <c r="E64" i="16"/>
  <c r="D70" i="16" a="1"/>
  <c r="D70" i="16" s="1"/>
  <c r="C70" i="16" a="1"/>
  <c r="C70" i="16" s="1"/>
  <c r="E70" i="16"/>
  <c r="B8" i="16"/>
  <c r="H27" i="16" s="1"/>
  <c r="H26" i="16"/>
  <c r="V2" i="16"/>
  <c r="H113" i="10"/>
  <c r="H144" i="10"/>
  <c r="H184" i="10"/>
  <c r="H115" i="10"/>
  <c r="H162" i="10"/>
  <c r="H167" i="10"/>
  <c r="H38" i="10"/>
  <c r="H136" i="10"/>
  <c r="H49" i="10"/>
  <c r="H83" i="10"/>
  <c r="H197" i="10"/>
  <c r="H62" i="10"/>
  <c r="H151" i="10"/>
  <c r="H64" i="10"/>
  <c r="H130" i="10"/>
  <c r="H164" i="10"/>
  <c r="H77" i="10"/>
  <c r="H203" i="10"/>
  <c r="H120" i="10"/>
  <c r="H186" i="10"/>
  <c r="H67" i="10"/>
  <c r="H181" i="10"/>
  <c r="H123" i="10"/>
  <c r="H54" i="10"/>
  <c r="H202" i="10"/>
  <c r="H135" i="10"/>
  <c r="H48" i="10"/>
  <c r="H114" i="10"/>
  <c r="H148" i="10"/>
  <c r="H61" i="10"/>
  <c r="H191" i="10"/>
  <c r="H104" i="10"/>
  <c r="H170" i="10"/>
  <c r="H51" i="10"/>
  <c r="H165" i="10"/>
  <c r="H149" i="10"/>
  <c r="H160" i="10"/>
  <c r="H47" i="10"/>
  <c r="H201" i="10"/>
  <c r="H157" i="10"/>
  <c r="H46" i="10"/>
  <c r="H60" i="10"/>
  <c r="H70" i="10"/>
  <c r="H152" i="10"/>
  <c r="H43" i="10"/>
  <c r="H45" i="10"/>
  <c r="H94" i="10"/>
  <c r="H103" i="10"/>
  <c r="H169" i="10"/>
  <c r="H82" i="10"/>
  <c r="H116" i="10"/>
  <c r="H196" i="10"/>
  <c r="H159" i="10"/>
  <c r="H72" i="10"/>
  <c r="H138" i="10"/>
  <c r="H179" i="10"/>
  <c r="H133" i="10"/>
  <c r="H118" i="10"/>
  <c r="H97" i="10"/>
  <c r="H78" i="10"/>
  <c r="H59" i="10"/>
  <c r="H100" i="10"/>
  <c r="H180" i="10"/>
  <c r="H143" i="10"/>
  <c r="H56" i="10"/>
  <c r="H122" i="10"/>
  <c r="H188" i="10"/>
  <c r="H117" i="10"/>
  <c r="H102" i="10"/>
  <c r="H109" i="10"/>
  <c r="H198" i="10"/>
  <c r="H127" i="10"/>
  <c r="H40" i="10"/>
  <c r="H106" i="10"/>
  <c r="H172" i="10"/>
  <c r="H101" i="10"/>
  <c r="H173" i="10"/>
  <c r="H141" i="10"/>
  <c r="H75" i="10"/>
  <c r="H81" i="10"/>
  <c r="H96" i="10"/>
  <c r="H65" i="10"/>
  <c r="H146" i="10"/>
  <c r="H119" i="10"/>
  <c r="H154" i="10"/>
  <c r="H153" i="10"/>
  <c r="H84" i="10"/>
  <c r="H126" i="10"/>
  <c r="H55" i="10"/>
  <c r="H121" i="10"/>
  <c r="H187" i="10"/>
  <c r="H68" i="10"/>
  <c r="H182" i="10"/>
  <c r="H111" i="10"/>
  <c r="H193" i="10"/>
  <c r="H90" i="10"/>
  <c r="H156" i="10"/>
  <c r="H85" i="10"/>
  <c r="H92" i="10"/>
  <c r="H107" i="10"/>
  <c r="H147" i="10"/>
  <c r="H194" i="10"/>
  <c r="H131" i="10"/>
  <c r="H178" i="10"/>
  <c r="H125" i="10"/>
  <c r="H183" i="10"/>
  <c r="H99" i="10"/>
  <c r="H80" i="10"/>
  <c r="H174" i="10"/>
  <c r="H185" i="10"/>
  <c r="H88" i="10"/>
  <c r="H199" i="10"/>
  <c r="H142" i="10"/>
  <c r="H137" i="10"/>
  <c r="H206" i="10"/>
  <c r="H39" i="10"/>
  <c r="H105" i="10"/>
  <c r="H171" i="10"/>
  <c r="H52" i="10"/>
  <c r="H166" i="10"/>
  <c r="H95" i="10"/>
  <c r="H177" i="10"/>
  <c r="H74" i="10"/>
  <c r="H140" i="10"/>
  <c r="H69" i="10"/>
  <c r="H57" i="10"/>
  <c r="H163" i="10"/>
  <c r="H41" i="10"/>
  <c r="H76" i="10"/>
  <c r="H91" i="10"/>
  <c r="H44" i="10"/>
  <c r="H93" i="10"/>
  <c r="H132" i="10"/>
  <c r="H195" i="10"/>
  <c r="H87" i="10"/>
  <c r="H71" i="10"/>
  <c r="H110" i="10"/>
  <c r="H192" i="10"/>
  <c r="H89" i="10"/>
  <c r="H155" i="10"/>
  <c r="H205" i="10"/>
  <c r="H150" i="10"/>
  <c r="H79" i="10"/>
  <c r="H161" i="10"/>
  <c r="H58" i="10"/>
  <c r="H124" i="10"/>
  <c r="H53" i="10"/>
  <c r="H190" i="10"/>
  <c r="H129" i="10"/>
  <c r="H200" i="10"/>
  <c r="H128" i="10"/>
  <c r="H86" i="10"/>
  <c r="H112" i="10"/>
  <c r="H168" i="10"/>
  <c r="H204" i="10"/>
  <c r="H98" i="10"/>
  <c r="H175" i="10"/>
  <c r="H66" i="10"/>
  <c r="H50" i="10"/>
  <c r="H158" i="10"/>
  <c r="H176" i="10"/>
  <c r="H73" i="10"/>
  <c r="H139" i="10"/>
  <c r="H189" i="10"/>
  <c r="H134" i="10"/>
  <c r="H63" i="10"/>
  <c r="H145" i="10"/>
  <c r="H42" i="10"/>
  <c r="H108" i="10"/>
  <c r="H37" i="10"/>
  <c r="B187" i="10"/>
  <c r="B114" i="10"/>
  <c r="B165" i="10"/>
  <c r="B205" i="10"/>
  <c r="B41" i="10"/>
  <c r="B182" i="10"/>
  <c r="B63" i="10"/>
  <c r="B161" i="10"/>
  <c r="B170" i="10"/>
  <c r="B156" i="10"/>
  <c r="B107" i="10"/>
  <c r="B193" i="10"/>
  <c r="B116" i="10"/>
  <c r="B166" i="10"/>
  <c r="B47" i="10"/>
  <c r="B145" i="10"/>
  <c r="B154" i="10"/>
  <c r="B140" i="10"/>
  <c r="B146" i="10"/>
  <c r="B119" i="10"/>
  <c r="B189" i="10"/>
  <c r="B100" i="10"/>
  <c r="B150" i="10"/>
  <c r="B191" i="10"/>
  <c r="B129" i="10"/>
  <c r="B195" i="10"/>
  <c r="B124" i="10"/>
  <c r="B78" i="10"/>
  <c r="B55" i="10"/>
  <c r="B98" i="10"/>
  <c r="B142" i="10"/>
  <c r="B84" i="10"/>
  <c r="B134" i="10"/>
  <c r="B175" i="10"/>
  <c r="B113" i="10"/>
  <c r="B179" i="10"/>
  <c r="B108" i="10"/>
  <c r="B48" i="10"/>
  <c r="B68" i="10"/>
  <c r="B118" i="10"/>
  <c r="B200" i="10"/>
  <c r="B97" i="10"/>
  <c r="B163" i="10"/>
  <c r="B92" i="10"/>
  <c r="B132" i="10"/>
  <c r="B82" i="10"/>
  <c r="B64" i="10"/>
  <c r="B130" i="10"/>
  <c r="B46" i="10"/>
  <c r="B75" i="10"/>
  <c r="B52" i="10"/>
  <c r="B102" i="10"/>
  <c r="B184" i="10"/>
  <c r="B81" i="10"/>
  <c r="B147" i="10"/>
  <c r="B76" i="10"/>
  <c r="B194" i="10"/>
  <c r="B39" i="10"/>
  <c r="B201" i="10"/>
  <c r="B173" i="10"/>
  <c r="B86" i="10"/>
  <c r="B168" i="10"/>
  <c r="B65" i="10"/>
  <c r="B131" i="10"/>
  <c r="B60" i="10"/>
  <c r="B94" i="10"/>
  <c r="B206" i="10"/>
  <c r="B126" i="10"/>
  <c r="B96" i="10"/>
  <c r="B185" i="10"/>
  <c r="B157" i="10"/>
  <c r="B70" i="10"/>
  <c r="B152" i="10"/>
  <c r="B49" i="10"/>
  <c r="B115" i="10"/>
  <c r="B44" i="10"/>
  <c r="B169" i="10"/>
  <c r="B54" i="10"/>
  <c r="B136" i="10"/>
  <c r="B138" i="10"/>
  <c r="B99" i="10"/>
  <c r="B149" i="10"/>
  <c r="B178" i="10"/>
  <c r="B71" i="10"/>
  <c r="B167" i="10"/>
  <c r="B203" i="10"/>
  <c r="B141" i="10"/>
  <c r="B80" i="10"/>
  <c r="B162" i="10"/>
  <c r="B197" i="10"/>
  <c r="B199" i="10"/>
  <c r="B153" i="10"/>
  <c r="B125" i="10"/>
  <c r="B38" i="10"/>
  <c r="B120" i="10"/>
  <c r="B122" i="10"/>
  <c r="B83" i="10"/>
  <c r="B133" i="10"/>
  <c r="B62" i="10"/>
  <c r="B123" i="10"/>
  <c r="B87" i="10"/>
  <c r="B158" i="10"/>
  <c r="B174" i="10"/>
  <c r="B103" i="10"/>
  <c r="B181" i="10"/>
  <c r="B160" i="10"/>
  <c r="B137" i="10"/>
  <c r="B109" i="10"/>
  <c r="B159" i="10"/>
  <c r="B104" i="10"/>
  <c r="B106" i="10"/>
  <c r="B67" i="10"/>
  <c r="B117" i="10"/>
  <c r="B148" i="10"/>
  <c r="B180" i="10"/>
  <c r="B144" i="10"/>
  <c r="B155" i="10"/>
  <c r="B121" i="10"/>
  <c r="B93" i="10"/>
  <c r="B143" i="10"/>
  <c r="B88" i="10"/>
  <c r="B90" i="10"/>
  <c r="B51" i="10"/>
  <c r="B101" i="10"/>
  <c r="B196" i="10"/>
  <c r="B77" i="10"/>
  <c r="B72" i="10"/>
  <c r="B74" i="10"/>
  <c r="B186" i="10"/>
  <c r="B85" i="10"/>
  <c r="B135" i="10"/>
  <c r="B151" i="10"/>
  <c r="B164" i="10"/>
  <c r="B56" i="10"/>
  <c r="B204" i="10"/>
  <c r="B69" i="10"/>
  <c r="B91" i="10"/>
  <c r="B183" i="10"/>
  <c r="B112" i="10"/>
  <c r="B105" i="10"/>
  <c r="B127" i="10"/>
  <c r="B128" i="10"/>
  <c r="B192" i="10"/>
  <c r="B66" i="10"/>
  <c r="B89" i="10"/>
  <c r="B61" i="10"/>
  <c r="B111" i="10"/>
  <c r="B58" i="10"/>
  <c r="B50" i="10"/>
  <c r="B190" i="10"/>
  <c r="B176" i="10"/>
  <c r="B110" i="10"/>
  <c r="B73" i="10"/>
  <c r="B45" i="10"/>
  <c r="B95" i="10"/>
  <c r="B40" i="10"/>
  <c r="B42" i="10"/>
  <c r="B188" i="10"/>
  <c r="B53" i="10"/>
  <c r="B43" i="10"/>
  <c r="B139" i="10"/>
  <c r="B171" i="10"/>
  <c r="B59" i="10"/>
  <c r="B57" i="10"/>
  <c r="B198" i="10"/>
  <c r="B79" i="10"/>
  <c r="B177" i="10"/>
  <c r="B202" i="10"/>
  <c r="B172" i="10"/>
  <c r="B37" i="10"/>
  <c r="H7" i="10"/>
  <c r="B7" i="10"/>
  <c r="Q15" i="10"/>
  <c r="Q21" i="10"/>
  <c r="Q22" i="10" s="1"/>
  <c r="R22" i="10" s="1"/>
  <c r="Q17" i="10"/>
  <c r="Q18" i="10" s="1"/>
  <c r="R18" i="10" s="1"/>
  <c r="I26" i="10"/>
  <c r="H26" i="10"/>
  <c r="I28" i="10"/>
  <c r="H28" i="10"/>
  <c r="H11" i="10"/>
  <c r="H8" i="10"/>
  <c r="I27" i="10" s="1"/>
  <c r="B8" i="10"/>
  <c r="H27" i="10" s="1"/>
  <c r="B11" i="10"/>
  <c r="B10" i="9"/>
  <c r="B9" i="9"/>
  <c r="B20" i="9"/>
  <c r="B21" i="9" s="1"/>
  <c r="B22" i="9" s="1"/>
  <c r="B23" i="9" s="1"/>
  <c r="B28" i="9" s="1"/>
  <c r="L10" i="9"/>
  <c r="B58" i="5"/>
  <c r="C58" i="5" s="1"/>
  <c r="D58" i="5" s="1"/>
  <c r="B60" i="5"/>
  <c r="C60" i="5" s="1"/>
  <c r="D60" i="5" s="1"/>
  <c r="B20" i="5"/>
  <c r="B10" i="5"/>
  <c r="B56" i="5" s="1"/>
  <c r="B9" i="5"/>
  <c r="B27" i="5" s="1"/>
  <c r="J37" i="16" a="1"/>
  <c r="J40" i="16" a="1"/>
  <c r="I75" i="16" a="1"/>
  <c r="I76" i="16" a="1"/>
  <c r="I58" i="16" a="1"/>
  <c r="J69" i="16" a="1"/>
  <c r="J61" i="16" a="1"/>
  <c r="I71" i="16" a="1"/>
  <c r="I91" i="10" a="1"/>
  <c r="I78" i="10" a="1"/>
  <c r="I69" i="16" a="1"/>
  <c r="I61" i="16" a="1"/>
  <c r="J68" i="16" a="1"/>
  <c r="J71" i="16" a="1"/>
  <c r="I72" i="16" a="1"/>
  <c r="I45" i="16" a="1"/>
  <c r="I101" i="10" a="1"/>
  <c r="I47" i="16" a="1"/>
  <c r="I68" i="16" a="1"/>
  <c r="J72" i="16" a="1"/>
  <c r="I60" i="16" a="1"/>
  <c r="J45" i="16" a="1"/>
  <c r="I88" i="10" a="1"/>
  <c r="I80" i="10" a="1"/>
  <c r="I93" i="10" a="1"/>
  <c r="I87" i="10" a="1"/>
  <c r="J52" i="16" a="1"/>
  <c r="J47" i="16" a="1"/>
  <c r="I64" i="16" a="1"/>
  <c r="J60" i="16" a="1"/>
  <c r="I81" i="10" a="1"/>
  <c r="I98" i="10" a="1"/>
  <c r="I100" i="10" a="1"/>
  <c r="I52" i="16" a="1"/>
  <c r="D37" i="16" a="1"/>
  <c r="J70" i="16" a="1"/>
  <c r="J64" i="16" a="1"/>
  <c r="I54" i="16" a="1"/>
  <c r="I59" i="16" a="1"/>
  <c r="J66" i="16" a="1"/>
  <c r="I70" i="16" a="1"/>
  <c r="I49" i="16" a="1"/>
  <c r="J54" i="16" a="1"/>
  <c r="J62" i="16" a="1"/>
  <c r="J59" i="16" a="1"/>
  <c r="I102" i="10" a="1"/>
  <c r="I84" i="10" a="1"/>
  <c r="C37" i="16" a="1"/>
  <c r="I66" i="16" a="1"/>
  <c r="J49" i="16" a="1"/>
  <c r="I62" i="16" a="1"/>
  <c r="I48" i="16" a="1"/>
  <c r="J51" i="16" a="1"/>
  <c r="J42" i="16" a="1"/>
  <c r="I41" i="16" a="1"/>
  <c r="J48" i="16" a="1"/>
  <c r="I38" i="16" a="1"/>
  <c r="I51" i="16" a="1"/>
  <c r="I42" i="16" a="1"/>
  <c r="J41" i="16" a="1"/>
  <c r="I56" i="16" a="1"/>
  <c r="J44" i="16" a="1"/>
  <c r="J38" i="16" a="1"/>
  <c r="J43" i="16" a="1"/>
  <c r="J56" i="16" a="1"/>
  <c r="I73" i="16" a="1"/>
  <c r="I44" i="16" a="1"/>
  <c r="I43" i="16" a="1"/>
  <c r="J50" i="16" a="1"/>
  <c r="I95" i="10" a="1"/>
  <c r="I79" i="10" a="1"/>
  <c r="I65" i="16" a="1"/>
  <c r="J73" i="16" a="1"/>
  <c r="J63" i="16" a="1"/>
  <c r="J55" i="16" a="1"/>
  <c r="I50" i="16" a="1"/>
  <c r="I77" i="10" a="1"/>
  <c r="I83" i="10" a="1"/>
  <c r="J65" i="16" a="1"/>
  <c r="J39" i="16" a="1"/>
  <c r="I63" i="16" a="1"/>
  <c r="I53" i="16" a="1"/>
  <c r="I55" i="16" a="1"/>
  <c r="J74" i="16" a="1"/>
  <c r="I96" i="10" a="1"/>
  <c r="I90" i="10" a="1"/>
  <c r="I85" i="10" a="1"/>
  <c r="I92" i="10" a="1"/>
  <c r="I57" i="16" a="1"/>
  <c r="J67" i="16" a="1"/>
  <c r="I39" i="16" a="1"/>
  <c r="J76" i="16" a="1"/>
  <c r="J53" i="16" a="1"/>
  <c r="J46" i="16" a="1"/>
  <c r="I74" i="16" a="1"/>
  <c r="I94" i="10" a="1"/>
  <c r="I97" i="10" a="1"/>
  <c r="I89" i="10" a="1"/>
  <c r="I37" i="16" a="1"/>
  <c r="J57" i="16" a="1"/>
  <c r="I40" i="16" a="1"/>
  <c r="I67" i="16" a="1"/>
  <c r="J75" i="16" a="1"/>
  <c r="J58" i="16" a="1"/>
  <c r="I46" i="16" a="1"/>
  <c r="I82" i="10" a="1"/>
  <c r="I99" i="10" a="1"/>
  <c r="I86" i="10" a="1"/>
  <c r="I46" i="16" l="1"/>
  <c r="J58" i="16"/>
  <c r="J75" i="16"/>
  <c r="I67" i="16"/>
  <c r="I40" i="16"/>
  <c r="J57" i="16"/>
  <c r="I37" i="16"/>
  <c r="I74" i="16"/>
  <c r="J46" i="16"/>
  <c r="J53" i="16"/>
  <c r="J76" i="16"/>
  <c r="K75" i="16" s="1"/>
  <c r="I39" i="16"/>
  <c r="J67" i="16"/>
  <c r="K66" i="16" s="1"/>
  <c r="I57" i="16"/>
  <c r="J74" i="16"/>
  <c r="K73" i="16" s="1"/>
  <c r="I55" i="16"/>
  <c r="I53" i="16"/>
  <c r="I63" i="16"/>
  <c r="J39" i="16"/>
  <c r="J65" i="16"/>
  <c r="I50" i="16"/>
  <c r="J55" i="16"/>
  <c r="J63" i="16"/>
  <c r="J73" i="16"/>
  <c r="I65" i="16"/>
  <c r="J50" i="16"/>
  <c r="I43" i="16"/>
  <c r="I44" i="16"/>
  <c r="I73" i="16"/>
  <c r="J56" i="16"/>
  <c r="J43" i="16"/>
  <c r="J38" i="16"/>
  <c r="J44" i="16"/>
  <c r="I56" i="16"/>
  <c r="J41" i="16"/>
  <c r="I42" i="16"/>
  <c r="I51" i="16"/>
  <c r="I38" i="16"/>
  <c r="J48" i="16"/>
  <c r="I41" i="16"/>
  <c r="J42" i="16"/>
  <c r="J51" i="16"/>
  <c r="K50" i="16" s="1"/>
  <c r="I48" i="16"/>
  <c r="I62" i="16"/>
  <c r="J49" i="16"/>
  <c r="K48" i="16" s="1"/>
  <c r="I66" i="16"/>
  <c r="C37" i="16"/>
  <c r="J59" i="16"/>
  <c r="K58" i="16" s="1"/>
  <c r="J62" i="16"/>
  <c r="J54" i="16"/>
  <c r="I49" i="16"/>
  <c r="I70" i="16"/>
  <c r="J66" i="16"/>
  <c r="K65" i="16" s="1"/>
  <c r="I59" i="16"/>
  <c r="I54" i="16"/>
  <c r="J64" i="16"/>
  <c r="K63" i="16" s="1"/>
  <c r="J70" i="16"/>
  <c r="D37" i="16"/>
  <c r="I52" i="16"/>
  <c r="J60" i="16"/>
  <c r="I64" i="16"/>
  <c r="J47" i="16"/>
  <c r="J52" i="16"/>
  <c r="K51" i="16" s="1"/>
  <c r="J45" i="16"/>
  <c r="K44" i="16" s="1"/>
  <c r="I60" i="16"/>
  <c r="J72" i="16"/>
  <c r="I68" i="16"/>
  <c r="I47" i="16"/>
  <c r="I45" i="16"/>
  <c r="I72" i="16"/>
  <c r="J71" i="16"/>
  <c r="J68" i="16"/>
  <c r="I61" i="16"/>
  <c r="I69" i="16"/>
  <c r="I71" i="16"/>
  <c r="J61" i="16"/>
  <c r="K60" i="16" s="1"/>
  <c r="J69" i="16"/>
  <c r="K68" i="16" s="1"/>
  <c r="I58" i="16"/>
  <c r="I76" i="16"/>
  <c r="I75" i="16"/>
  <c r="J40" i="16"/>
  <c r="J37" i="16"/>
  <c r="L26" i="16"/>
  <c r="J26" i="16"/>
  <c r="W3" i="16"/>
  <c r="W2" i="16"/>
  <c r="J28" i="16"/>
  <c r="L28" i="16"/>
  <c r="W6" i="16"/>
  <c r="W7" i="16"/>
  <c r="J27" i="16"/>
  <c r="L27" i="16"/>
  <c r="Q12" i="16"/>
  <c r="B12" i="16"/>
  <c r="H12" i="16"/>
  <c r="B29" i="16"/>
  <c r="B30" i="16" s="1"/>
  <c r="I100" i="10"/>
  <c r="I98" i="10"/>
  <c r="I80" i="10"/>
  <c r="I101" i="10"/>
  <c r="I78" i="10"/>
  <c r="I89" i="10"/>
  <c r="I99" i="10"/>
  <c r="I97" i="10"/>
  <c r="I90" i="10"/>
  <c r="I83" i="10"/>
  <c r="I95" i="10"/>
  <c r="I86" i="10"/>
  <c r="I79" i="10"/>
  <c r="I87" i="10"/>
  <c r="I84" i="10"/>
  <c r="I102" i="10"/>
  <c r="I93" i="10"/>
  <c r="I81" i="10"/>
  <c r="I88" i="10"/>
  <c r="I92" i="10"/>
  <c r="I91" i="10"/>
  <c r="I85" i="10"/>
  <c r="I82" i="10"/>
  <c r="I94" i="10"/>
  <c r="I96" i="10"/>
  <c r="I77" i="10"/>
  <c r="I158" i="10" a="1"/>
  <c r="I158" i="10" s="1"/>
  <c r="J158" i="10" a="1"/>
  <c r="J158" i="10" s="1"/>
  <c r="K158" i="10"/>
  <c r="I161" i="10" a="1"/>
  <c r="I161" i="10" s="1"/>
  <c r="J161" i="10" a="1"/>
  <c r="J161" i="10" s="1"/>
  <c r="K161" i="10"/>
  <c r="I199" i="10" a="1"/>
  <c r="I199" i="10" s="1"/>
  <c r="J199" i="10" a="1"/>
  <c r="J199" i="10" s="1"/>
  <c r="K199" i="10"/>
  <c r="I143" i="10" a="1"/>
  <c r="I143" i="10" s="1"/>
  <c r="J143" i="10" a="1"/>
  <c r="J143" i="10" s="1"/>
  <c r="K143" i="10"/>
  <c r="I103" i="10" a="1"/>
  <c r="I103" i="10" s="1"/>
  <c r="J103" i="10" a="1"/>
  <c r="J103" i="10" s="1"/>
  <c r="K103" i="10"/>
  <c r="I104" i="10" a="1"/>
  <c r="I104" i="10" s="1"/>
  <c r="J104" i="10" a="1"/>
  <c r="J104" i="10" s="1"/>
  <c r="K104" i="10"/>
  <c r="I164" i="10" a="1"/>
  <c r="I164" i="10" s="1"/>
  <c r="J164" i="10" a="1"/>
  <c r="J164" i="10" s="1"/>
  <c r="K164" i="10"/>
  <c r="I163" i="10" a="1"/>
  <c r="I163" i="10" s="1"/>
  <c r="J163" i="10" a="1"/>
  <c r="J163" i="10" s="1"/>
  <c r="K163" i="10"/>
  <c r="I193" i="10" a="1"/>
  <c r="I193" i="10" s="1"/>
  <c r="K193" i="10"/>
  <c r="J193" i="10" a="1"/>
  <c r="J193" i="10" s="1"/>
  <c r="I180" i="10" a="1"/>
  <c r="I180" i="10" s="1"/>
  <c r="J180" i="10" a="1"/>
  <c r="J180" i="10" s="1"/>
  <c r="K180" i="10"/>
  <c r="I191" i="10" a="1"/>
  <c r="I191" i="10" s="1"/>
  <c r="J191" i="10" a="1"/>
  <c r="J191" i="10" s="1"/>
  <c r="K191" i="10"/>
  <c r="K130" i="10"/>
  <c r="I130" i="10" a="1"/>
  <c r="I130" i="10" s="1"/>
  <c r="J130" i="10" a="1"/>
  <c r="J130" i="10" s="1"/>
  <c r="I150" i="10" a="1"/>
  <c r="I150" i="10" s="1"/>
  <c r="J150" i="10" a="1"/>
  <c r="J150" i="10" s="1"/>
  <c r="K150" i="10"/>
  <c r="J185" i="10" a="1"/>
  <c r="J185" i="10" s="1"/>
  <c r="K185" i="10"/>
  <c r="I185" i="10" a="1"/>
  <c r="I185" i="10" s="1"/>
  <c r="I111" i="10" a="1"/>
  <c r="I111" i="10" s="1"/>
  <c r="J111" i="10" a="1"/>
  <c r="J111" i="10" s="1"/>
  <c r="K111" i="10"/>
  <c r="I141" i="10" a="1"/>
  <c r="I141" i="10" s="1"/>
  <c r="J141" i="10" a="1"/>
  <c r="J141" i="10" s="1"/>
  <c r="K141" i="10"/>
  <c r="I175" i="10" a="1"/>
  <c r="I175" i="10" s="1"/>
  <c r="J175" i="10" a="1"/>
  <c r="J175" i="10" s="1"/>
  <c r="K175" i="10"/>
  <c r="I205" i="10" a="1"/>
  <c r="I205" i="10" s="1"/>
  <c r="K205" i="10"/>
  <c r="J205" i="10" a="1"/>
  <c r="J205" i="10" s="1"/>
  <c r="I174" i="10" a="1"/>
  <c r="I174" i="10" s="1"/>
  <c r="J174" i="10" a="1"/>
  <c r="J174" i="10" s="1"/>
  <c r="K174" i="10"/>
  <c r="I182" i="10" a="1"/>
  <c r="I182" i="10" s="1"/>
  <c r="J182" i="10" a="1"/>
  <c r="J182" i="10" s="1"/>
  <c r="K182" i="10"/>
  <c r="I173" i="10" a="1"/>
  <c r="I173" i="10" s="1"/>
  <c r="J173" i="10" a="1"/>
  <c r="J173" i="10" s="1"/>
  <c r="K173" i="10"/>
  <c r="I148" i="10" a="1"/>
  <c r="I148" i="10" s="1"/>
  <c r="J148" i="10" a="1"/>
  <c r="J148" i="10" s="1"/>
  <c r="K148" i="10"/>
  <c r="I151" i="10" a="1"/>
  <c r="I151" i="10" s="1"/>
  <c r="J151" i="10" a="1"/>
  <c r="J151" i="10" s="1"/>
  <c r="K151" i="10"/>
  <c r="I109" i="10" a="1"/>
  <c r="I109" i="10" s="1"/>
  <c r="J109" i="10" a="1"/>
  <c r="J109" i="10" s="1"/>
  <c r="K109" i="10"/>
  <c r="K155" i="10"/>
  <c r="I155" i="10" a="1"/>
  <c r="I155" i="10" s="1"/>
  <c r="J155" i="10" a="1"/>
  <c r="J155" i="10" s="1"/>
  <c r="I140" i="10" a="1"/>
  <c r="I140" i="10" s="1"/>
  <c r="J140" i="10" a="1"/>
  <c r="J140" i="10" s="1"/>
  <c r="K140" i="10"/>
  <c r="I152" i="10" a="1"/>
  <c r="I152" i="10" s="1"/>
  <c r="J152" i="10" a="1"/>
  <c r="J152" i="10" s="1"/>
  <c r="K152" i="10"/>
  <c r="K114" i="10"/>
  <c r="I114" i="10" a="1"/>
  <c r="I114" i="10" s="1"/>
  <c r="J114" i="10" a="1"/>
  <c r="J114" i="10" s="1"/>
  <c r="I204" i="10" a="1"/>
  <c r="I204" i="10" s="1"/>
  <c r="K204" i="10"/>
  <c r="J204" i="10" a="1"/>
  <c r="J204" i="10" s="1"/>
  <c r="K187" i="10"/>
  <c r="I187" i="10" a="1"/>
  <c r="I187" i="10" s="1"/>
  <c r="J187" i="10" a="1"/>
  <c r="J187" i="10" s="1"/>
  <c r="I172" i="10" a="1"/>
  <c r="I172" i="10" s="1"/>
  <c r="J172" i="10" a="1"/>
  <c r="J172" i="10" s="1"/>
  <c r="K172" i="10"/>
  <c r="I197" i="10" a="1"/>
  <c r="I197" i="10" s="1"/>
  <c r="J197" i="10" a="1"/>
  <c r="J197" i="10" s="1"/>
  <c r="K197" i="10"/>
  <c r="I168" i="10" a="1"/>
  <c r="I168" i="10" s="1"/>
  <c r="J168" i="10" a="1"/>
  <c r="J168" i="10" s="1"/>
  <c r="K168" i="10"/>
  <c r="J192" i="10" a="1"/>
  <c r="J192" i="10" s="1"/>
  <c r="K192" i="10"/>
  <c r="I192" i="10" a="1"/>
  <c r="I192" i="10" s="1"/>
  <c r="I177" i="10" a="1"/>
  <c r="I177" i="10" s="1"/>
  <c r="J177" i="10" a="1"/>
  <c r="J177" i="10" s="1"/>
  <c r="K177" i="10"/>
  <c r="I183" i="10" a="1"/>
  <c r="I183" i="10" s="1"/>
  <c r="J183" i="10" a="1"/>
  <c r="J183" i="10" s="1"/>
  <c r="K183" i="10"/>
  <c r="J121" i="10" a="1"/>
  <c r="J121" i="10" s="1"/>
  <c r="K121" i="10"/>
  <c r="I121" i="10" a="1"/>
  <c r="I121" i="10" s="1"/>
  <c r="I106" i="10" a="1"/>
  <c r="I106" i="10" s="1"/>
  <c r="J106" i="10" a="1"/>
  <c r="J106" i="10" s="1"/>
  <c r="K106" i="10"/>
  <c r="I118" i="10" a="1"/>
  <c r="I118" i="10" s="1"/>
  <c r="J118" i="10" a="1"/>
  <c r="J118" i="10" s="1"/>
  <c r="K118" i="10"/>
  <c r="I135" i="10" a="1"/>
  <c r="I135" i="10" s="1"/>
  <c r="J135" i="10" a="1"/>
  <c r="J135" i="10" s="1"/>
  <c r="K135" i="10"/>
  <c r="I108" i="10" a="1"/>
  <c r="I108" i="10" s="1"/>
  <c r="J108" i="10" a="1"/>
  <c r="J108" i="10" s="1"/>
  <c r="K108" i="10"/>
  <c r="J112" i="10" a="1"/>
  <c r="J112" i="10" s="1"/>
  <c r="K112" i="10"/>
  <c r="I112" i="10" a="1"/>
  <c r="I112" i="10" s="1"/>
  <c r="I110" i="10" a="1"/>
  <c r="I110" i="10" s="1"/>
  <c r="J110" i="10" a="1"/>
  <c r="J110" i="10" s="1"/>
  <c r="K110" i="10"/>
  <c r="I125" i="10" a="1"/>
  <c r="I125" i="10" s="1"/>
  <c r="J125" i="10" a="1"/>
  <c r="J125" i="10" s="1"/>
  <c r="K125" i="10"/>
  <c r="I133" i="10" a="1"/>
  <c r="I133" i="10" s="1"/>
  <c r="J133" i="10" a="1"/>
  <c r="J133" i="10" s="1"/>
  <c r="K133" i="10"/>
  <c r="J202" i="10" a="1"/>
  <c r="J202" i="10" s="1"/>
  <c r="K202" i="10"/>
  <c r="I202" i="10" a="1"/>
  <c r="I202" i="10" s="1"/>
  <c r="I166" i="10" a="1"/>
  <c r="I166" i="10" s="1"/>
  <c r="J166" i="10" a="1"/>
  <c r="J166" i="10" s="1"/>
  <c r="K166" i="10"/>
  <c r="K178" i="10"/>
  <c r="I178" i="10" a="1"/>
  <c r="I178" i="10" s="1"/>
  <c r="J178" i="10" a="1"/>
  <c r="J178" i="10" s="1"/>
  <c r="I126" i="10" a="1"/>
  <c r="I126" i="10" s="1"/>
  <c r="J126" i="10" a="1"/>
  <c r="J126" i="10" s="1"/>
  <c r="K126" i="10"/>
  <c r="I127" i="10" a="1"/>
  <c r="I127" i="10" s="1"/>
  <c r="J127" i="10" a="1"/>
  <c r="J127" i="10" s="1"/>
  <c r="K127" i="10"/>
  <c r="I179" i="10" a="1"/>
  <c r="I179" i="10" s="1"/>
  <c r="J179" i="10" a="1"/>
  <c r="J179" i="10" s="1"/>
  <c r="K179" i="10"/>
  <c r="I157" i="10" a="1"/>
  <c r="I157" i="10" s="1"/>
  <c r="J157" i="10" a="1"/>
  <c r="J157" i="10" s="1"/>
  <c r="K157" i="10"/>
  <c r="I136" i="10" a="1"/>
  <c r="I136" i="10" s="1"/>
  <c r="J136" i="10" a="1"/>
  <c r="J136" i="10" s="1"/>
  <c r="K136" i="10"/>
  <c r="I145" i="10" a="1"/>
  <c r="I145" i="10" s="1"/>
  <c r="J145" i="10" a="1"/>
  <c r="J145" i="10" s="1"/>
  <c r="K145" i="10"/>
  <c r="J128" i="10" a="1"/>
  <c r="J128" i="10" s="1"/>
  <c r="K128" i="10"/>
  <c r="I128" i="10" a="1"/>
  <c r="I128" i="10" s="1"/>
  <c r="I131" i="10" a="1"/>
  <c r="I131" i="10" s="1"/>
  <c r="J131" i="10" a="1"/>
  <c r="J131" i="10" s="1"/>
  <c r="K131" i="10"/>
  <c r="J198" i="10" a="1"/>
  <c r="J198" i="10" s="1"/>
  <c r="I198" i="10" a="1"/>
  <c r="I198" i="10" s="1"/>
  <c r="K198" i="10"/>
  <c r="I138" i="10" a="1"/>
  <c r="I138" i="10" s="1"/>
  <c r="J138" i="10" a="1"/>
  <c r="J138" i="10" s="1"/>
  <c r="K138" i="10"/>
  <c r="J201" i="10" a="1"/>
  <c r="J201" i="10" s="1"/>
  <c r="K201" i="10"/>
  <c r="I201" i="10" a="1"/>
  <c r="I201" i="10" s="1"/>
  <c r="K123" i="10"/>
  <c r="I123" i="10" a="1"/>
  <c r="I123" i="10" s="1"/>
  <c r="J123" i="10" a="1"/>
  <c r="J123" i="10" s="1"/>
  <c r="I181" i="10" a="1"/>
  <c r="I181" i="10" s="1"/>
  <c r="J181" i="10" a="1"/>
  <c r="J181" i="10" s="1"/>
  <c r="K181" i="10"/>
  <c r="I167" i="10" a="1"/>
  <c r="I167" i="10" s="1"/>
  <c r="J167" i="10" a="1"/>
  <c r="J167" i="10" s="1"/>
  <c r="K167" i="10"/>
  <c r="I195" i="10" a="1"/>
  <c r="I195" i="10" s="1"/>
  <c r="J195" i="10" a="1"/>
  <c r="J195" i="10" s="1"/>
  <c r="K195" i="10"/>
  <c r="I134" i="10" a="1"/>
  <c r="I134" i="10" s="1"/>
  <c r="J134" i="10" a="1"/>
  <c r="J134" i="10" s="1"/>
  <c r="K134" i="10"/>
  <c r="I129" i="10" a="1"/>
  <c r="I129" i="10" s="1"/>
  <c r="J129" i="10" a="1"/>
  <c r="J129" i="10" s="1"/>
  <c r="K129" i="10"/>
  <c r="I132" i="10" a="1"/>
  <c r="I132" i="10" s="1"/>
  <c r="J132" i="10" a="1"/>
  <c r="J132" i="10" s="1"/>
  <c r="K132" i="10"/>
  <c r="J105" i="10" a="1"/>
  <c r="J105" i="10" s="1"/>
  <c r="K105" i="10"/>
  <c r="I105" i="10" a="1"/>
  <c r="I105" i="10" s="1"/>
  <c r="I147" i="10" a="1"/>
  <c r="I147" i="10" s="1"/>
  <c r="J147" i="10" a="1"/>
  <c r="J147" i="10" s="1"/>
  <c r="K147" i="10"/>
  <c r="I154" i="10" a="1"/>
  <c r="I154" i="10" s="1"/>
  <c r="J154" i="10" a="1"/>
  <c r="J154" i="10" s="1"/>
  <c r="K154" i="10"/>
  <c r="K102" i="10"/>
  <c r="I159" i="10" a="1"/>
  <c r="I159" i="10" s="1"/>
  <c r="J159" i="10" a="1"/>
  <c r="J159" i="10" s="1"/>
  <c r="K159" i="10"/>
  <c r="J160" i="10" a="1"/>
  <c r="J160" i="10" s="1"/>
  <c r="K160" i="10"/>
  <c r="I160" i="10" a="1"/>
  <c r="I160" i="10" s="1"/>
  <c r="K162" i="10"/>
  <c r="I162" i="10" a="1"/>
  <c r="I162" i="10" s="1"/>
  <c r="J162" i="10" a="1"/>
  <c r="J162" i="10" s="1"/>
  <c r="J200" i="10" a="1"/>
  <c r="J200" i="10" s="1"/>
  <c r="I200" i="10" a="1"/>
  <c r="I200" i="10" s="1"/>
  <c r="K200" i="10"/>
  <c r="I189" i="10" a="1"/>
  <c r="I189" i="10" s="1"/>
  <c r="J189" i="10" a="1"/>
  <c r="J189" i="10" s="1"/>
  <c r="K189" i="10"/>
  <c r="J190" i="10" a="1"/>
  <c r="J190" i="10" s="1"/>
  <c r="I190" i="10" a="1"/>
  <c r="I190" i="10" s="1"/>
  <c r="K190" i="10"/>
  <c r="K107" i="10"/>
  <c r="I107" i="10" a="1"/>
  <c r="I107" i="10" s="1"/>
  <c r="J107" i="10" a="1"/>
  <c r="J107" i="10" s="1"/>
  <c r="I119" i="10" a="1"/>
  <c r="I119" i="10" s="1"/>
  <c r="J119" i="10" a="1"/>
  <c r="J119" i="10" s="1"/>
  <c r="K119" i="10"/>
  <c r="I117" i="10" a="1"/>
  <c r="I117" i="10" s="1"/>
  <c r="J117" i="10" a="1"/>
  <c r="J117" i="10" s="1"/>
  <c r="K117" i="10"/>
  <c r="I196" i="10" a="1"/>
  <c r="I196" i="10" s="1"/>
  <c r="J196" i="10" a="1"/>
  <c r="J196" i="10" s="1"/>
  <c r="K196" i="10"/>
  <c r="I149" i="10" a="1"/>
  <c r="I149" i="10" s="1"/>
  <c r="J149" i="10" a="1"/>
  <c r="J149" i="10" s="1"/>
  <c r="K149" i="10"/>
  <c r="I186" i="10" a="1"/>
  <c r="I186" i="10" s="1"/>
  <c r="J186" i="10" a="1"/>
  <c r="J186" i="10" s="1"/>
  <c r="K186" i="10"/>
  <c r="I115" i="10" a="1"/>
  <c r="I115" i="10" s="1"/>
  <c r="J115" i="10" a="1"/>
  <c r="J115" i="10" s="1"/>
  <c r="K115" i="10"/>
  <c r="K171" i="10"/>
  <c r="I171" i="10" a="1"/>
  <c r="I171" i="10" s="1"/>
  <c r="J171" i="10" a="1"/>
  <c r="J171" i="10" s="1"/>
  <c r="K139" i="10"/>
  <c r="I139" i="10" a="1"/>
  <c r="I139" i="10" s="1"/>
  <c r="J139" i="10" a="1"/>
  <c r="J139" i="10" s="1"/>
  <c r="I206" i="10" a="1"/>
  <c r="I206" i="10" s="1"/>
  <c r="J206" i="10" a="1"/>
  <c r="J206" i="10" s="1"/>
  <c r="K206" i="10"/>
  <c r="K146" i="10"/>
  <c r="I146" i="10" a="1"/>
  <c r="I146" i="10" s="1"/>
  <c r="J146" i="10" a="1"/>
  <c r="J146" i="10" s="1"/>
  <c r="I188" i="10" a="1"/>
  <c r="I188" i="10" s="1"/>
  <c r="J188" i="10" a="1"/>
  <c r="J188" i="10" s="1"/>
  <c r="K188" i="10"/>
  <c r="I116" i="10" a="1"/>
  <c r="I116" i="10" s="1"/>
  <c r="J116" i="10" a="1"/>
  <c r="J116" i="10" s="1"/>
  <c r="K116" i="10"/>
  <c r="I165" i="10" a="1"/>
  <c r="I165" i="10" s="1"/>
  <c r="J165" i="10" a="1"/>
  <c r="J165" i="10" s="1"/>
  <c r="K165" i="10"/>
  <c r="I120" i="10" a="1"/>
  <c r="I120" i="10" s="1"/>
  <c r="J120" i="10" a="1"/>
  <c r="J120" i="10" s="1"/>
  <c r="K120" i="10"/>
  <c r="J184" i="10" a="1"/>
  <c r="J184" i="10" s="1"/>
  <c r="I184" i="10" a="1"/>
  <c r="I184" i="10" s="1"/>
  <c r="K184" i="10"/>
  <c r="J153" i="10" a="1"/>
  <c r="J153" i="10" s="1"/>
  <c r="K153" i="10"/>
  <c r="I153" i="10" a="1"/>
  <c r="I153" i="10" s="1"/>
  <c r="I124" i="10" a="1"/>
  <c r="I124" i="10" s="1"/>
  <c r="J124" i="10" a="1"/>
  <c r="J124" i="10" s="1"/>
  <c r="K124" i="10"/>
  <c r="J137" i="10" a="1"/>
  <c r="J137" i="10" s="1"/>
  <c r="K137" i="10"/>
  <c r="I137" i="10" a="1"/>
  <c r="I137" i="10" s="1"/>
  <c r="I122" i="10" a="1"/>
  <c r="I122" i="10" s="1"/>
  <c r="J122" i="10" a="1"/>
  <c r="J122" i="10" s="1"/>
  <c r="K122" i="10"/>
  <c r="K203" i="10"/>
  <c r="I203" i="10" a="1"/>
  <c r="I203" i="10" s="1"/>
  <c r="J203" i="10" a="1"/>
  <c r="J203" i="10" s="1"/>
  <c r="J144" i="10" a="1"/>
  <c r="J144" i="10" s="1"/>
  <c r="K144" i="10"/>
  <c r="I144" i="10" a="1"/>
  <c r="I144" i="10" s="1"/>
  <c r="K194" i="10"/>
  <c r="I194" i="10" a="1"/>
  <c r="I194" i="10" s="1"/>
  <c r="J194" i="10" a="1"/>
  <c r="J194" i="10" s="1"/>
  <c r="J176" i="10" a="1"/>
  <c r="J176" i="10" s="1"/>
  <c r="K176" i="10"/>
  <c r="I176" i="10" a="1"/>
  <c r="I176" i="10" s="1"/>
  <c r="I142" i="10" a="1"/>
  <c r="I142" i="10" s="1"/>
  <c r="J142" i="10" a="1"/>
  <c r="J142" i="10" s="1"/>
  <c r="K142" i="10"/>
  <c r="I156" i="10" a="1"/>
  <c r="I156" i="10" s="1"/>
  <c r="J156" i="10" a="1"/>
  <c r="J156" i="10" s="1"/>
  <c r="K156" i="10"/>
  <c r="J169" i="10" a="1"/>
  <c r="J169" i="10" s="1"/>
  <c r="K169" i="10"/>
  <c r="I169" i="10" a="1"/>
  <c r="I169" i="10" s="1"/>
  <c r="I170" i="10" a="1"/>
  <c r="I170" i="10" s="1"/>
  <c r="J170" i="10" a="1"/>
  <c r="J170" i="10" s="1"/>
  <c r="K170" i="10"/>
  <c r="I113" i="10" a="1"/>
  <c r="I113" i="10" s="1"/>
  <c r="J113" i="10" a="1"/>
  <c r="J113" i="10" s="1"/>
  <c r="K113" i="10"/>
  <c r="E130" i="10"/>
  <c r="C130" i="10" a="1"/>
  <c r="C130" i="10" s="1"/>
  <c r="D130" i="10" a="1"/>
  <c r="D130" i="10" s="1"/>
  <c r="D192" i="10" a="1"/>
  <c r="D192" i="10" s="1"/>
  <c r="E192" i="10"/>
  <c r="C192" i="10" a="1"/>
  <c r="C192" i="10" s="1"/>
  <c r="C106" i="10" a="1"/>
  <c r="C106" i="10" s="1"/>
  <c r="D106" i="10" a="1"/>
  <c r="D106" i="10" s="1"/>
  <c r="E106" i="10"/>
  <c r="C120" i="10" a="1"/>
  <c r="C120" i="10" s="1"/>
  <c r="D120" i="10" a="1"/>
  <c r="D120" i="10" s="1"/>
  <c r="E120" i="10"/>
  <c r="C136" i="10" a="1"/>
  <c r="C136" i="10" s="1"/>
  <c r="E136" i="10"/>
  <c r="D136" i="10" a="1"/>
  <c r="D136" i="10" s="1"/>
  <c r="C142" i="10" a="1"/>
  <c r="C142" i="10" s="1"/>
  <c r="D142" i="10" a="1"/>
  <c r="D142" i="10" s="1"/>
  <c r="E142" i="10"/>
  <c r="C104" i="10" a="1"/>
  <c r="C104" i="10" s="1"/>
  <c r="D104" i="10" a="1"/>
  <c r="D104" i="10" s="1"/>
  <c r="E104" i="10"/>
  <c r="C166" i="10" a="1"/>
  <c r="C166" i="10" s="1"/>
  <c r="D166" i="10" a="1"/>
  <c r="D166" i="10" s="1"/>
  <c r="E166" i="10"/>
  <c r="C127" i="10" a="1"/>
  <c r="C127" i="10" s="1"/>
  <c r="E127" i="10"/>
  <c r="D127" i="10" a="1"/>
  <c r="D127" i="10" s="1"/>
  <c r="C196" i="10" a="1"/>
  <c r="C196" i="10" s="1"/>
  <c r="D196" i="10" a="1"/>
  <c r="D196" i="10" s="1"/>
  <c r="E196" i="10"/>
  <c r="C159" i="10" a="1"/>
  <c r="C159" i="10" s="1"/>
  <c r="E159" i="10"/>
  <c r="D159" i="10" a="1"/>
  <c r="D159" i="10" s="1"/>
  <c r="D125" i="10" a="1"/>
  <c r="D125" i="10" s="1"/>
  <c r="C125" i="10" a="1"/>
  <c r="C125" i="10" s="1"/>
  <c r="E125" i="10"/>
  <c r="E169" i="10"/>
  <c r="D169" i="10" a="1"/>
  <c r="D169" i="10" s="1"/>
  <c r="C169" i="10" a="1"/>
  <c r="C169" i="10" s="1"/>
  <c r="D132" i="10" a="1"/>
  <c r="D132" i="10" s="1"/>
  <c r="C132" i="10" a="1"/>
  <c r="C132" i="10" s="1"/>
  <c r="E132" i="10"/>
  <c r="E116" i="10"/>
  <c r="C116" i="10" a="1"/>
  <c r="C116" i="10" s="1"/>
  <c r="D116" i="10" a="1"/>
  <c r="D116" i="10" s="1"/>
  <c r="C131" i="10" a="1"/>
  <c r="C131" i="10" s="1"/>
  <c r="D131" i="10" a="1"/>
  <c r="D131" i="10" s="1"/>
  <c r="E131" i="10"/>
  <c r="C168" i="10" a="1"/>
  <c r="C168" i="10" s="1"/>
  <c r="E168" i="10"/>
  <c r="D168" i="10" a="1"/>
  <c r="D168" i="10" s="1"/>
  <c r="D105" i="10" a="1"/>
  <c r="D105" i="10" s="1"/>
  <c r="E105" i="10"/>
  <c r="C105" i="10" a="1"/>
  <c r="C105" i="10" s="1"/>
  <c r="D109" i="10" a="1"/>
  <c r="D109" i="10" s="1"/>
  <c r="E109" i="10"/>
  <c r="C109" i="10" a="1"/>
  <c r="C109" i="10" s="1"/>
  <c r="E153" i="10"/>
  <c r="D153" i="10" a="1"/>
  <c r="D153" i="10" s="1"/>
  <c r="C153" i="10" a="1"/>
  <c r="C153" i="10" s="1"/>
  <c r="D173" i="10" a="1"/>
  <c r="D173" i="10" s="1"/>
  <c r="E173" i="10"/>
  <c r="C173" i="10" a="1"/>
  <c r="C173" i="10" s="1"/>
  <c r="C193" i="10" a="1"/>
  <c r="C193" i="10" s="1"/>
  <c r="D193" i="10" a="1"/>
  <c r="D193" i="10" s="1"/>
  <c r="E193" i="10"/>
  <c r="D112" i="10" a="1"/>
  <c r="D112" i="10" s="1"/>
  <c r="E112" i="10"/>
  <c r="C112" i="10" a="1"/>
  <c r="C112" i="10" s="1"/>
  <c r="D137" i="10" a="1"/>
  <c r="D137" i="10" s="1"/>
  <c r="E137" i="10"/>
  <c r="C137" i="10" a="1"/>
  <c r="C137" i="10" s="1"/>
  <c r="D199" i="10" a="1"/>
  <c r="D199" i="10" s="1"/>
  <c r="E199" i="10"/>
  <c r="C199" i="10" a="1"/>
  <c r="C199" i="10" s="1"/>
  <c r="C115" i="10" a="1"/>
  <c r="C115" i="10" s="1"/>
  <c r="D115" i="10" a="1"/>
  <c r="D115" i="10" s="1"/>
  <c r="E115" i="10"/>
  <c r="E201" i="10"/>
  <c r="C201" i="10" a="1"/>
  <c r="C201" i="10" s="1"/>
  <c r="D201" i="10" a="1"/>
  <c r="D201" i="10" s="1"/>
  <c r="C163" i="10" a="1"/>
  <c r="C163" i="10" s="1"/>
  <c r="D163" i="10" a="1"/>
  <c r="D163" i="10" s="1"/>
  <c r="E163" i="10"/>
  <c r="C124" i="10" a="1"/>
  <c r="C124" i="10" s="1"/>
  <c r="D124" i="10" a="1"/>
  <c r="D124" i="10" s="1"/>
  <c r="E124" i="10"/>
  <c r="E107" i="10"/>
  <c r="C107" i="10" a="1"/>
  <c r="C107" i="10" s="1"/>
  <c r="D107" i="10" a="1"/>
  <c r="D107" i="10" s="1"/>
  <c r="C138" i="10" a="1"/>
  <c r="C138" i="10" s="1"/>
  <c r="D138" i="10" a="1"/>
  <c r="D138" i="10" s="1"/>
  <c r="E138" i="10"/>
  <c r="D128" i="10" a="1"/>
  <c r="D128" i="10" s="1"/>
  <c r="E128" i="10"/>
  <c r="C128" i="10" a="1"/>
  <c r="C128" i="10" s="1"/>
  <c r="D160" i="10" a="1"/>
  <c r="D160" i="10" s="1"/>
  <c r="E160" i="10"/>
  <c r="C160" i="10" a="1"/>
  <c r="C160" i="10" s="1"/>
  <c r="D195" i="10" a="1"/>
  <c r="D195" i="10" s="1"/>
  <c r="C195" i="10" a="1"/>
  <c r="C195" i="10" s="1"/>
  <c r="E195" i="10"/>
  <c r="C156" i="10" a="1"/>
  <c r="C156" i="10" s="1"/>
  <c r="D156" i="10" a="1"/>
  <c r="D156" i="10" s="1"/>
  <c r="E156" i="10"/>
  <c r="D183" i="10" a="1"/>
  <c r="D183" i="10" s="1"/>
  <c r="C183" i="10" a="1"/>
  <c r="C183" i="10" s="1"/>
  <c r="E183" i="10"/>
  <c r="C172" i="10" a="1"/>
  <c r="C172" i="10" s="1"/>
  <c r="D172" i="10" a="1"/>
  <c r="D172" i="10" s="1"/>
  <c r="E172" i="10"/>
  <c r="C181" i="10" a="1"/>
  <c r="C181" i="10" s="1"/>
  <c r="D181" i="10" a="1"/>
  <c r="D181" i="10" s="1"/>
  <c r="E181" i="10"/>
  <c r="E162" i="10"/>
  <c r="C162" i="10" a="1"/>
  <c r="C162" i="10" s="1"/>
  <c r="D162" i="10" a="1"/>
  <c r="D162" i="10" s="1"/>
  <c r="C152" i="10" a="1"/>
  <c r="C152" i="10" s="1"/>
  <c r="D152" i="10" a="1"/>
  <c r="D152" i="10" s="1"/>
  <c r="E152" i="10"/>
  <c r="E194" i="10"/>
  <c r="C194" i="10" a="1"/>
  <c r="C194" i="10" s="1"/>
  <c r="D194" i="10" a="1"/>
  <c r="D194" i="10" s="1"/>
  <c r="C200" i="10" a="1"/>
  <c r="C200" i="10" s="1"/>
  <c r="D200" i="10" a="1"/>
  <c r="D200" i="10" s="1"/>
  <c r="E200" i="10"/>
  <c r="C129" i="10" a="1"/>
  <c r="C129" i="10" s="1"/>
  <c r="D129" i="10" a="1"/>
  <c r="D129" i="10" s="1"/>
  <c r="E129" i="10"/>
  <c r="C170" i="10" a="1"/>
  <c r="C170" i="10" s="1"/>
  <c r="D170" i="10" a="1"/>
  <c r="D170" i="10" s="1"/>
  <c r="E170" i="10"/>
  <c r="C197" i="10" a="1"/>
  <c r="C197" i="10" s="1"/>
  <c r="E197" i="10"/>
  <c r="D197" i="10" a="1"/>
  <c r="D197" i="10" s="1"/>
  <c r="C202" i="10" a="1"/>
  <c r="C202" i="10" s="1"/>
  <c r="D202" i="10" a="1"/>
  <c r="D202" i="10" s="1"/>
  <c r="E202" i="10"/>
  <c r="C143" i="10" a="1"/>
  <c r="C143" i="10" s="1"/>
  <c r="E143" i="10"/>
  <c r="D143" i="10" a="1"/>
  <c r="D143" i="10" s="1"/>
  <c r="C103" i="10" a="1"/>
  <c r="C103" i="10" s="1"/>
  <c r="D103" i="10" a="1"/>
  <c r="D103" i="10" s="1"/>
  <c r="E103" i="10"/>
  <c r="D118" i="10" a="1"/>
  <c r="D118" i="10" s="1"/>
  <c r="E118" i="10"/>
  <c r="C118" i="10" a="1"/>
  <c r="C118" i="10" s="1"/>
  <c r="E191" i="10"/>
  <c r="D191" i="10" a="1"/>
  <c r="D191" i="10" s="1"/>
  <c r="C191" i="10" a="1"/>
  <c r="C191" i="10" s="1"/>
  <c r="C161" i="10" a="1"/>
  <c r="C161" i="10" s="1"/>
  <c r="D161" i="10" a="1"/>
  <c r="D161" i="10" s="1"/>
  <c r="E161" i="10"/>
  <c r="C110" i="10" a="1"/>
  <c r="C110" i="10" s="1"/>
  <c r="D110" i="10" a="1"/>
  <c r="D110" i="10" s="1"/>
  <c r="E110" i="10"/>
  <c r="C177" i="10" a="1"/>
  <c r="C177" i="10" s="1"/>
  <c r="D177" i="10" a="1"/>
  <c r="D177" i="10" s="1"/>
  <c r="E177" i="10"/>
  <c r="D176" i="10" a="1"/>
  <c r="D176" i="10" s="1"/>
  <c r="E176" i="10"/>
  <c r="C176" i="10" a="1"/>
  <c r="C176" i="10" s="1"/>
  <c r="C204" i="10" a="1"/>
  <c r="C204" i="10" s="1"/>
  <c r="D204" i="10" a="1"/>
  <c r="D204" i="10" s="1"/>
  <c r="E204" i="10"/>
  <c r="C174" i="10" a="1"/>
  <c r="C174" i="10" s="1"/>
  <c r="D174" i="10" a="1"/>
  <c r="D174" i="10" s="1"/>
  <c r="E174" i="10"/>
  <c r="D141" i="10" a="1"/>
  <c r="D141" i="10" s="1"/>
  <c r="E141" i="10"/>
  <c r="C141" i="10" a="1"/>
  <c r="C141" i="10" s="1"/>
  <c r="D157" i="10" a="1"/>
  <c r="D157" i="10" s="1"/>
  <c r="C157" i="10" a="1"/>
  <c r="C157" i="10" s="1"/>
  <c r="E157" i="10"/>
  <c r="C147" i="10" a="1"/>
  <c r="C147" i="10" s="1"/>
  <c r="D147" i="10" a="1"/>
  <c r="D147" i="10" s="1"/>
  <c r="E147" i="10"/>
  <c r="C150" i="10" a="1"/>
  <c r="C150" i="10" s="1"/>
  <c r="D150" i="10" a="1"/>
  <c r="D150" i="10" s="1"/>
  <c r="E150" i="10"/>
  <c r="C188" i="10" a="1"/>
  <c r="C188" i="10" s="1"/>
  <c r="D188" i="10" a="1"/>
  <c r="D188" i="10" s="1"/>
  <c r="E188" i="10"/>
  <c r="C190" i="10" a="1"/>
  <c r="C190" i="10" s="1"/>
  <c r="D190" i="10" a="1"/>
  <c r="D190" i="10" s="1"/>
  <c r="E190" i="10"/>
  <c r="D121" i="10" a="1"/>
  <c r="D121" i="10" s="1"/>
  <c r="E121" i="10"/>
  <c r="C121" i="10" a="1"/>
  <c r="C121" i="10" s="1"/>
  <c r="C158" i="10" a="1"/>
  <c r="C158" i="10" s="1"/>
  <c r="D158" i="10" a="1"/>
  <c r="D158" i="10" s="1"/>
  <c r="E158" i="10"/>
  <c r="C203" i="10" a="1"/>
  <c r="C203" i="10" s="1"/>
  <c r="D203" i="10" a="1"/>
  <c r="D203" i="10" s="1"/>
  <c r="E203" i="10"/>
  <c r="E185" i="10"/>
  <c r="C185" i="10" a="1"/>
  <c r="C185" i="10" s="1"/>
  <c r="D185" i="10" a="1"/>
  <c r="D185" i="10" s="1"/>
  <c r="C182" i="10" a="1"/>
  <c r="C182" i="10" s="1"/>
  <c r="D182" i="10" a="1"/>
  <c r="D182" i="10" s="1"/>
  <c r="E182" i="10"/>
  <c r="E198" i="10"/>
  <c r="C198" i="10" a="1"/>
  <c r="C198" i="10" s="1"/>
  <c r="D198" i="10" a="1"/>
  <c r="D198" i="10" s="1"/>
  <c r="D164" i="10" a="1"/>
  <c r="D164" i="10" s="1"/>
  <c r="E164" i="10"/>
  <c r="C164" i="10" a="1"/>
  <c r="C164" i="10" s="1"/>
  <c r="C155" i="10" a="1"/>
  <c r="C155" i="10" s="1"/>
  <c r="D155" i="10" a="1"/>
  <c r="D155" i="10" s="1"/>
  <c r="E155" i="10"/>
  <c r="D167" i="10" a="1"/>
  <c r="D167" i="10" s="1"/>
  <c r="E167" i="10"/>
  <c r="C167" i="10" a="1"/>
  <c r="C167" i="10" s="1"/>
  <c r="C184" i="10" a="1"/>
  <c r="C184" i="10" s="1"/>
  <c r="E184" i="10"/>
  <c r="D184" i="10" a="1"/>
  <c r="D184" i="10" s="1"/>
  <c r="C108" i="10" a="1"/>
  <c r="C108" i="10" s="1"/>
  <c r="D108" i="10" a="1"/>
  <c r="D108" i="10" s="1"/>
  <c r="E108" i="10"/>
  <c r="D189" i="10" a="1"/>
  <c r="D189" i="10" s="1"/>
  <c r="C189" i="10" a="1"/>
  <c r="C189" i="10" s="1"/>
  <c r="E189" i="10"/>
  <c r="D151" i="10" a="1"/>
  <c r="D151" i="10" s="1"/>
  <c r="E151" i="10"/>
  <c r="C151" i="10" a="1"/>
  <c r="C151" i="10" s="1"/>
  <c r="D144" i="10" a="1"/>
  <c r="D144" i="10" s="1"/>
  <c r="E144" i="10"/>
  <c r="C144" i="10" a="1"/>
  <c r="C144" i="10" s="1"/>
  <c r="E123" i="10"/>
  <c r="C123" i="10" a="1"/>
  <c r="C123" i="10" s="1"/>
  <c r="D123" i="10" a="1"/>
  <c r="D123" i="10" s="1"/>
  <c r="C126" i="10" a="1"/>
  <c r="C126" i="10" s="1"/>
  <c r="D126" i="10" a="1"/>
  <c r="D126" i="10" s="1"/>
  <c r="E126" i="10"/>
  <c r="E102" i="10"/>
  <c r="C179" i="10" a="1"/>
  <c r="C179" i="10" s="1"/>
  <c r="D179" i="10" a="1"/>
  <c r="D179" i="10" s="1"/>
  <c r="E179" i="10"/>
  <c r="C119" i="10" a="1"/>
  <c r="C119" i="10" s="1"/>
  <c r="D119" i="10" a="1"/>
  <c r="D119" i="10" s="1"/>
  <c r="E119" i="10"/>
  <c r="D205" i="10" a="1"/>
  <c r="D205" i="10" s="1"/>
  <c r="C205" i="10" a="1"/>
  <c r="C205" i="10" s="1"/>
  <c r="E205" i="10"/>
  <c r="C122" i="10" a="1"/>
  <c r="C122" i="10" s="1"/>
  <c r="D122" i="10" a="1"/>
  <c r="D122" i="10" s="1"/>
  <c r="E122" i="10"/>
  <c r="C145" i="10" a="1"/>
  <c r="C145" i="10" s="1"/>
  <c r="D145" i="10" a="1"/>
  <c r="D145" i="10" s="1"/>
  <c r="E145" i="10"/>
  <c r="C111" i="10" a="1"/>
  <c r="C111" i="10" s="1"/>
  <c r="E111" i="10"/>
  <c r="D111" i="10" a="1"/>
  <c r="D111" i="10" s="1"/>
  <c r="C135" i="10" a="1"/>
  <c r="C135" i="10" s="1"/>
  <c r="D135" i="10" a="1"/>
  <c r="D135" i="10" s="1"/>
  <c r="E135" i="10"/>
  <c r="C180" i="10" a="1"/>
  <c r="C180" i="10" s="1"/>
  <c r="D180" i="10" a="1"/>
  <c r="D180" i="10" s="1"/>
  <c r="E180" i="10"/>
  <c r="E178" i="10"/>
  <c r="C178" i="10" a="1"/>
  <c r="C178" i="10" s="1"/>
  <c r="D178" i="10" a="1"/>
  <c r="D178" i="10" s="1"/>
  <c r="C206" i="10" a="1"/>
  <c r="C206" i="10" s="1"/>
  <c r="E206" i="10"/>
  <c r="D206" i="10" a="1"/>
  <c r="D206" i="10" s="1"/>
  <c r="C113" i="10" a="1"/>
  <c r="C113" i="10" s="1"/>
  <c r="D113" i="10" a="1"/>
  <c r="D113" i="10" s="1"/>
  <c r="E113" i="10"/>
  <c r="E146" i="10"/>
  <c r="C146" i="10" a="1"/>
  <c r="C146" i="10" s="1"/>
  <c r="D146" i="10" a="1"/>
  <c r="D146" i="10" s="1"/>
  <c r="C165" i="10" a="1"/>
  <c r="C165" i="10" s="1"/>
  <c r="D165" i="10" a="1"/>
  <c r="D165" i="10" s="1"/>
  <c r="E165" i="10"/>
  <c r="C171" i="10" a="1"/>
  <c r="C171" i="10" s="1"/>
  <c r="D171" i="10" a="1"/>
  <c r="D171" i="10" s="1"/>
  <c r="E171" i="10"/>
  <c r="D148" i="10" a="1"/>
  <c r="D148" i="10" s="1"/>
  <c r="E148" i="10"/>
  <c r="C148" i="10" a="1"/>
  <c r="C148" i="10" s="1"/>
  <c r="C133" i="10" a="1"/>
  <c r="C133" i="10" s="1"/>
  <c r="D133" i="10" a="1"/>
  <c r="D133" i="10" s="1"/>
  <c r="E133" i="10"/>
  <c r="C149" i="10" a="1"/>
  <c r="C149" i="10" s="1"/>
  <c r="D149" i="10" a="1"/>
  <c r="D149" i="10" s="1"/>
  <c r="E149" i="10"/>
  <c r="C175" i="10" a="1"/>
  <c r="C175" i="10" s="1"/>
  <c r="E175" i="10"/>
  <c r="D175" i="10" a="1"/>
  <c r="D175" i="10" s="1"/>
  <c r="C140" i="10" a="1"/>
  <c r="C140" i="10" s="1"/>
  <c r="D140" i="10" a="1"/>
  <c r="D140" i="10" s="1"/>
  <c r="E140" i="10"/>
  <c r="E114" i="10"/>
  <c r="C114" i="10" a="1"/>
  <c r="C114" i="10" s="1"/>
  <c r="D114" i="10" a="1"/>
  <c r="D114" i="10" s="1"/>
  <c r="E139" i="10"/>
  <c r="C139" i="10" a="1"/>
  <c r="C139" i="10" s="1"/>
  <c r="D139" i="10" a="1"/>
  <c r="D139" i="10" s="1"/>
  <c r="C186" i="10" a="1"/>
  <c r="C186" i="10" s="1"/>
  <c r="D186" i="10" a="1"/>
  <c r="D186" i="10" s="1"/>
  <c r="E186" i="10"/>
  <c r="C117" i="10" a="1"/>
  <c r="C117" i="10" s="1"/>
  <c r="D117" i="10" a="1"/>
  <c r="D117" i="10" s="1"/>
  <c r="E117" i="10"/>
  <c r="C134" i="10" a="1"/>
  <c r="C134" i="10" s="1"/>
  <c r="D134" i="10" a="1"/>
  <c r="D134" i="10" s="1"/>
  <c r="E134" i="10"/>
  <c r="C154" i="10" a="1"/>
  <c r="C154" i="10" s="1"/>
  <c r="D154" i="10" a="1"/>
  <c r="D154" i="10" s="1"/>
  <c r="E154" i="10"/>
  <c r="C187" i="10" a="1"/>
  <c r="C187" i="10" s="1"/>
  <c r="E187" i="10"/>
  <c r="D187" i="10" a="1"/>
  <c r="D187" i="10" s="1"/>
  <c r="B12" i="10"/>
  <c r="H12" i="10"/>
  <c r="L26" i="10"/>
  <c r="J26" i="10"/>
  <c r="R21" i="10"/>
  <c r="R17" i="10"/>
  <c r="B29" i="10"/>
  <c r="B30" i="10" s="1"/>
  <c r="B32" i="10" s="1"/>
  <c r="Q12" i="10"/>
  <c r="L28" i="10"/>
  <c r="J28" i="10"/>
  <c r="L27" i="10"/>
  <c r="J27" i="10"/>
  <c r="B56" i="9"/>
  <c r="C56" i="9" s="1"/>
  <c r="D56" i="9" s="1"/>
  <c r="B11" i="9"/>
  <c r="B27" i="9"/>
  <c r="B12" i="9"/>
  <c r="B55" i="9" s="1"/>
  <c r="B60" i="9"/>
  <c r="C60" i="9" s="1"/>
  <c r="D60" i="9" s="1"/>
  <c r="B58" i="9"/>
  <c r="C58" i="9" s="1"/>
  <c r="D58" i="9" s="1"/>
  <c r="L13" i="9"/>
  <c r="C56" i="5"/>
  <c r="D56" i="5" s="1"/>
  <c r="B61" i="5"/>
  <c r="C61" i="5" s="1"/>
  <c r="D61" i="5" s="1"/>
  <c r="B21" i="5"/>
  <c r="B11" i="5"/>
  <c r="B12" i="5"/>
  <c r="B55" i="5" s="1"/>
  <c r="B62" i="5" s="1"/>
  <c r="C62" i="5" s="1"/>
  <c r="D62" i="5" s="1"/>
  <c r="D84" i="10" a="1"/>
  <c r="D80" i="10" a="1"/>
  <c r="C81" i="10" a="1"/>
  <c r="C57" i="10" a="1"/>
  <c r="C62" i="10" a="1"/>
  <c r="C48" i="10" a="1"/>
  <c r="D81" i="10" a="1"/>
  <c r="D62" i="10" a="1"/>
  <c r="D64" i="10" a="1"/>
  <c r="C98" i="10" a="1"/>
  <c r="C51" i="10" a="1"/>
  <c r="C56" i="10" a="1"/>
  <c r="C71" i="10" a="1"/>
  <c r="C72" i="10" a="1"/>
  <c r="D98" i="10" a="1"/>
  <c r="C92" i="10" a="1"/>
  <c r="D51" i="10" a="1"/>
  <c r="C80" i="10" a="1"/>
  <c r="C54" i="10" a="1"/>
  <c r="D56" i="10" a="1"/>
  <c r="D71" i="10" a="1"/>
  <c r="C83" i="10" a="1"/>
  <c r="C38" i="10" a="1"/>
  <c r="C60" i="10" a="1"/>
  <c r="C97" i="10" a="1"/>
  <c r="D72" i="10" a="1"/>
  <c r="C64" i="10" a="1"/>
  <c r="C101" i="10" a="1"/>
  <c r="D92" i="10" a="1"/>
  <c r="D73" i="10" a="1"/>
  <c r="C70" i="10" a="1"/>
  <c r="D54" i="10" a="1"/>
  <c r="C100" i="10" a="1"/>
  <c r="D83" i="10" a="1"/>
  <c r="C40" i="10" a="1"/>
  <c r="D55" i="10" a="1"/>
  <c r="D101" i="10" a="1"/>
  <c r="C67" i="10" a="1"/>
  <c r="D70" i="10" a="1"/>
  <c r="D100" i="10" a="1"/>
  <c r="D94" i="10" a="1"/>
  <c r="D95" i="10" a="1"/>
  <c r="C96" i="10" a="1"/>
  <c r="C84" i="10" a="1"/>
  <c r="D66" i="10" a="1"/>
  <c r="C78" i="10" a="1"/>
  <c r="D67" i="10" a="1"/>
  <c r="C73" i="10" a="1"/>
  <c r="D45" i="10" a="1"/>
  <c r="D77" i="10" a="1"/>
  <c r="C87" i="10" a="1"/>
  <c r="C59" i="10" a="1"/>
  <c r="C99" i="10" a="1"/>
  <c r="D91" i="10" a="1"/>
  <c r="C42" i="10" a="1"/>
  <c r="C66" i="10" a="1"/>
  <c r="D78" i="10" a="1"/>
  <c r="C76" i="10" a="1"/>
  <c r="C45" i="10" a="1"/>
  <c r="C68" i="10" a="1"/>
  <c r="C77" i="10" a="1"/>
  <c r="D87" i="10" a="1"/>
  <c r="C43" i="10" a="1"/>
  <c r="D59" i="10" a="1"/>
  <c r="D99" i="10" a="1"/>
  <c r="C93" i="10" a="1"/>
  <c r="D61" i="10" a="1"/>
  <c r="C47" i="10" a="1"/>
  <c r="D42" i="10" a="1"/>
  <c r="C37" i="10" a="1"/>
  <c r="C91" i="10" a="1"/>
  <c r="C69" i="10" a="1"/>
  <c r="D76" i="10" a="1"/>
  <c r="D93" i="10" a="1"/>
  <c r="D68" i="10" a="1"/>
  <c r="D41" i="10" a="1"/>
  <c r="D43" i="10" a="1"/>
  <c r="C94" i="10" a="1"/>
  <c r="D50" i="10" a="1"/>
  <c r="C86" i="10" a="1"/>
  <c r="C49" i="10" a="1"/>
  <c r="D37" i="10" a="1"/>
  <c r="D69" i="10" a="1"/>
  <c r="C90" i="10" a="1"/>
  <c r="D47" i="10" a="1"/>
  <c r="D86" i="10" a="1"/>
  <c r="C74" i="10" a="1"/>
  <c r="D49" i="10" a="1"/>
  <c r="C88" i="10" a="1"/>
  <c r="D90" i="10" a="1"/>
  <c r="D38" i="10" a="1"/>
  <c r="C41" i="10" a="1"/>
  <c r="C102" i="10" a="1"/>
  <c r="D52" i="10" a="1"/>
  <c r="C61" i="10" a="1"/>
  <c r="D89" i="10" a="1"/>
  <c r="D60" i="10" a="1"/>
  <c r="D44" i="10" a="1"/>
  <c r="D74" i="10" a="1"/>
  <c r="D88" i="10" a="1"/>
  <c r="C58" i="10" a="1"/>
  <c r="D79" i="10" a="1"/>
  <c r="C95" i="10" a="1"/>
  <c r="C39" i="10" a="1"/>
  <c r="C79" i="10" a="1"/>
  <c r="D96" i="10" a="1"/>
  <c r="D58" i="10" a="1"/>
  <c r="D102" i="10" a="1"/>
  <c r="C52" i="10" a="1"/>
  <c r="C85" i="10" a="1"/>
  <c r="C75" i="10" a="1"/>
  <c r="C89" i="10" a="1"/>
  <c r="C46" i="10" a="1"/>
  <c r="D53" i="10" a="1"/>
  <c r="C53" i="10" a="1"/>
  <c r="C44" i="10" a="1"/>
  <c r="D39" i="10" a="1"/>
  <c r="C63" i="10" a="1"/>
  <c r="D85" i="10" a="1"/>
  <c r="D75" i="10" a="1"/>
  <c r="D46" i="10" a="1"/>
  <c r="D65" i="10" a="1"/>
  <c r="C65" i="10" a="1"/>
  <c r="C82" i="10" a="1"/>
  <c r="C55" i="10" a="1"/>
  <c r="D40" i="10" a="1"/>
  <c r="D97" i="10" a="1"/>
  <c r="D63" i="10" a="1"/>
  <c r="C50" i="10" a="1"/>
  <c r="D57" i="10" a="1"/>
  <c r="D82" i="10" a="1"/>
  <c r="D48" i="10" a="1"/>
  <c r="J102" i="10" a="1"/>
  <c r="J75" i="10" a="1"/>
  <c r="I70" i="10" a="1"/>
  <c r="I61" i="10" a="1"/>
  <c r="I52" i="10" a="1"/>
  <c r="J54" i="10" a="1"/>
  <c r="J55" i="10" a="1"/>
  <c r="J100" i="10" a="1"/>
  <c r="J76" i="10" a="1"/>
  <c r="J67" i="10" a="1"/>
  <c r="J39" i="10" a="1"/>
  <c r="I38" i="10" a="1"/>
  <c r="I58" i="10" a="1"/>
  <c r="J79" i="10" a="1"/>
  <c r="J48" i="10" a="1"/>
  <c r="I44" i="10" a="1"/>
  <c r="J50" i="10" a="1"/>
  <c r="I67" i="10" a="1"/>
  <c r="J90" i="10" a="1"/>
  <c r="J93" i="10" a="1"/>
  <c r="I66" i="10" a="1"/>
  <c r="J101" i="10" a="1"/>
  <c r="J82" i="10" a="1"/>
  <c r="J80" i="10" a="1"/>
  <c r="J89" i="10" a="1"/>
  <c r="J53" i="10" a="1"/>
  <c r="J78" i="10" a="1"/>
  <c r="J62" i="10" a="1"/>
  <c r="J40" i="10" a="1"/>
  <c r="I56" i="10" a="1"/>
  <c r="J56" i="10" a="1"/>
  <c r="J97" i="10" a="1"/>
  <c r="J57" i="10" a="1"/>
  <c r="J46" i="10" a="1"/>
  <c r="J73" i="10" a="1"/>
  <c r="I73" i="10" a="1"/>
  <c r="J72" i="10" a="1"/>
  <c r="J47" i="10" a="1"/>
  <c r="J87" i="10" a="1"/>
  <c r="J65" i="10" a="1"/>
  <c r="I64" i="10" a="1"/>
  <c r="J92" i="10" a="1"/>
  <c r="I74" i="10" a="1"/>
  <c r="J77" i="10" a="1"/>
  <c r="I63" i="10" a="1"/>
  <c r="J44" i="10" a="1"/>
  <c r="I69" i="10" a="1"/>
  <c r="I47" i="10" a="1"/>
  <c r="J85" i="10" a="1"/>
  <c r="J69" i="10" a="1"/>
  <c r="J45" i="10" a="1"/>
  <c r="I71" i="10" a="1"/>
  <c r="J96" i="10" a="1"/>
  <c r="J63" i="10" a="1"/>
  <c r="I40" i="10" a="1"/>
  <c r="I75" i="10" a="1"/>
  <c r="I42" i="10" a="1"/>
  <c r="J52" i="10" a="1"/>
  <c r="J49" i="10" a="1"/>
  <c r="J66" i="10" a="1"/>
  <c r="J51" i="10" a="1"/>
  <c r="J70" i="10" a="1"/>
  <c r="J61" i="10" a="1"/>
  <c r="J64" i="10" a="1"/>
  <c r="J83" i="10" a="1"/>
  <c r="J59" i="10" a="1"/>
  <c r="I60" i="10" a="1"/>
  <c r="J95" i="10" a="1"/>
  <c r="I68" i="10" a="1"/>
  <c r="I54" i="10" a="1"/>
  <c r="I43" i="10" a="1"/>
  <c r="J94" i="10" a="1"/>
  <c r="J81" i="10" a="1"/>
  <c r="I49" i="10" a="1"/>
  <c r="I72" i="10" a="1"/>
  <c r="J74" i="10" a="1"/>
  <c r="I53" i="10" a="1"/>
  <c r="I45" i="10" a="1"/>
  <c r="I62" i="10" a="1"/>
  <c r="J99" i="10" a="1"/>
  <c r="J60" i="10" a="1"/>
  <c r="I59" i="10" a="1"/>
  <c r="J91" i="10" a="1"/>
  <c r="J86" i="10" a="1"/>
  <c r="I46" i="10" a="1"/>
  <c r="I65" i="10" a="1"/>
  <c r="I39" i="10" a="1"/>
  <c r="I37" i="10" a="1"/>
  <c r="I41" i="10" a="1"/>
  <c r="J88" i="10" a="1"/>
  <c r="J98" i="10" a="1"/>
  <c r="I51" i="10" a="1"/>
  <c r="I76" i="10" a="1"/>
  <c r="J71" i="10" a="1"/>
  <c r="J41" i="10" a="1"/>
  <c r="J38" i="10" a="1"/>
  <c r="I55" i="10" a="1"/>
  <c r="J58" i="10" a="1"/>
  <c r="J42" i="10" a="1"/>
  <c r="J84" i="10" a="1"/>
  <c r="I50" i="10" a="1"/>
  <c r="J43" i="10" a="1"/>
  <c r="I57" i="10" a="1"/>
  <c r="I48" i="10" a="1"/>
  <c r="J68" i="10" a="1"/>
  <c r="J37" i="10" a="1"/>
  <c r="K46" i="16" l="1"/>
  <c r="K67" i="16"/>
  <c r="K71" i="16"/>
  <c r="K42" i="16"/>
  <c r="K55" i="16"/>
  <c r="K59" i="16"/>
  <c r="K49" i="16"/>
  <c r="K70" i="16"/>
  <c r="K62" i="16"/>
  <c r="K40" i="16"/>
  <c r="K57" i="16"/>
  <c r="B32" i="16"/>
  <c r="B31" i="16"/>
  <c r="K37" i="16"/>
  <c r="B16" i="16"/>
  <c r="Q14" i="16"/>
  <c r="H19" i="16"/>
  <c r="I19" i="16" s="1"/>
  <c r="J19" i="16" s="1"/>
  <c r="H16" i="16"/>
  <c r="B19" i="16"/>
  <c r="C19" i="16" s="1"/>
  <c r="D19" i="16" s="1"/>
  <c r="H17" i="16"/>
  <c r="I17" i="16" s="1"/>
  <c r="J17" i="16" s="1"/>
  <c r="B17" i="16"/>
  <c r="C17" i="16" s="1"/>
  <c r="D17" i="16" s="1"/>
  <c r="K52" i="16"/>
  <c r="K69" i="16"/>
  <c r="K41" i="16"/>
  <c r="K45" i="16"/>
  <c r="K72" i="16"/>
  <c r="K47" i="16"/>
  <c r="K54" i="16"/>
  <c r="K56" i="16"/>
  <c r="K64" i="16"/>
  <c r="K38" i="16"/>
  <c r="K74" i="16"/>
  <c r="K53" i="16"/>
  <c r="K39" i="16"/>
  <c r="K61" i="16"/>
  <c r="K43" i="16"/>
  <c r="H16" i="10"/>
  <c r="H20" i="10" s="1"/>
  <c r="I20" i="10" s="1"/>
  <c r="J20" i="10" s="1"/>
  <c r="B16" i="10"/>
  <c r="D48" i="10"/>
  <c r="D82" i="10"/>
  <c r="D57" i="10"/>
  <c r="C50" i="10"/>
  <c r="D63" i="10"/>
  <c r="D97" i="10"/>
  <c r="D40" i="10"/>
  <c r="C55" i="10"/>
  <c r="C82" i="10"/>
  <c r="C65" i="10"/>
  <c r="D65" i="10"/>
  <c r="D46" i="10"/>
  <c r="D75" i="10"/>
  <c r="E74" i="10" s="1"/>
  <c r="D85" i="10"/>
  <c r="C63" i="10"/>
  <c r="D39" i="10"/>
  <c r="C44" i="10"/>
  <c r="C53" i="10"/>
  <c r="D53" i="10"/>
  <c r="C46" i="10"/>
  <c r="C89" i="10"/>
  <c r="C75" i="10"/>
  <c r="C85" i="10"/>
  <c r="C52" i="10"/>
  <c r="D102" i="10"/>
  <c r="D58" i="10"/>
  <c r="D96" i="10"/>
  <c r="C79" i="10"/>
  <c r="C39" i="10"/>
  <c r="C95" i="10"/>
  <c r="D79" i="10"/>
  <c r="C58" i="10"/>
  <c r="D88" i="10"/>
  <c r="D74" i="10"/>
  <c r="D44" i="10"/>
  <c r="E43" i="10" s="1"/>
  <c r="D60" i="10"/>
  <c r="D89" i="10"/>
  <c r="E88" i="10" s="1"/>
  <c r="C61" i="10"/>
  <c r="D52" i="10"/>
  <c r="C102" i="10"/>
  <c r="C41" i="10"/>
  <c r="D38" i="10"/>
  <c r="D90" i="10"/>
  <c r="C88" i="10"/>
  <c r="D49" i="10"/>
  <c r="E48" i="10" s="1"/>
  <c r="C74" i="10"/>
  <c r="D86" i="10"/>
  <c r="E85" i="10" s="1"/>
  <c r="D47" i="10"/>
  <c r="C90" i="10"/>
  <c r="D69" i="10"/>
  <c r="D37" i="10"/>
  <c r="C49" i="10"/>
  <c r="C86" i="10"/>
  <c r="D50" i="10"/>
  <c r="C94" i="10"/>
  <c r="D43" i="10"/>
  <c r="D41" i="10"/>
  <c r="D68" i="10"/>
  <c r="D93" i="10"/>
  <c r="E92" i="10" s="1"/>
  <c r="D76" i="10"/>
  <c r="C69" i="10"/>
  <c r="C91" i="10"/>
  <c r="C37" i="10"/>
  <c r="D42" i="10"/>
  <c r="C47" i="10"/>
  <c r="D61" i="10"/>
  <c r="C93" i="10"/>
  <c r="D99" i="10"/>
  <c r="D59" i="10"/>
  <c r="E58" i="10" s="1"/>
  <c r="C43" i="10"/>
  <c r="D87" i="10"/>
  <c r="C77" i="10"/>
  <c r="C68" i="10"/>
  <c r="C45" i="10"/>
  <c r="C76" i="10"/>
  <c r="D78" i="10"/>
  <c r="C66" i="10"/>
  <c r="C42" i="10"/>
  <c r="D91" i="10"/>
  <c r="E90" i="10" s="1"/>
  <c r="C99" i="10"/>
  <c r="C59" i="10"/>
  <c r="C87" i="10"/>
  <c r="D77" i="10"/>
  <c r="D45" i="10"/>
  <c r="C73" i="10"/>
  <c r="D67" i="10"/>
  <c r="C78" i="10"/>
  <c r="D66" i="10"/>
  <c r="C84" i="10"/>
  <c r="C96" i="10"/>
  <c r="D95" i="10"/>
  <c r="D94" i="10"/>
  <c r="E93" i="10" s="1"/>
  <c r="D100" i="10"/>
  <c r="D70" i="10"/>
  <c r="E69" i="10" s="1"/>
  <c r="C67" i="10"/>
  <c r="D101" i="10"/>
  <c r="D55" i="10"/>
  <c r="C40" i="10"/>
  <c r="D83" i="10"/>
  <c r="E82" i="10" s="1"/>
  <c r="C100" i="10"/>
  <c r="D54" i="10"/>
  <c r="E53" i="10" s="1"/>
  <c r="C70" i="10"/>
  <c r="D73" i="10"/>
  <c r="D92" i="10"/>
  <c r="C101" i="10"/>
  <c r="C64" i="10"/>
  <c r="D72" i="10"/>
  <c r="C97" i="10"/>
  <c r="C60" i="10"/>
  <c r="C38" i="10"/>
  <c r="C83" i="10"/>
  <c r="D71" i="10"/>
  <c r="D56" i="10"/>
  <c r="E55" i="10" s="1"/>
  <c r="C54" i="10"/>
  <c r="C80" i="10"/>
  <c r="D51" i="10"/>
  <c r="C92" i="10"/>
  <c r="D98" i="10"/>
  <c r="E97" i="10" s="1"/>
  <c r="C72" i="10"/>
  <c r="C71" i="10"/>
  <c r="C56" i="10"/>
  <c r="C51" i="10"/>
  <c r="C98" i="10"/>
  <c r="D64" i="10"/>
  <c r="D62" i="10"/>
  <c r="E61" i="10" s="1"/>
  <c r="D81" i="10"/>
  <c r="E80" i="10" s="1"/>
  <c r="C48" i="10"/>
  <c r="C62" i="10"/>
  <c r="C57" i="10"/>
  <c r="C81" i="10"/>
  <c r="D80" i="10"/>
  <c r="D84" i="10"/>
  <c r="I38" i="10"/>
  <c r="J55" i="10"/>
  <c r="J37" i="10"/>
  <c r="J101" i="10"/>
  <c r="J49" i="10"/>
  <c r="I55" i="10"/>
  <c r="I37" i="10"/>
  <c r="J63" i="10"/>
  <c r="J96" i="10"/>
  <c r="J44" i="10"/>
  <c r="I49" i="10"/>
  <c r="J83" i="10"/>
  <c r="I63" i="10"/>
  <c r="I64" i="10"/>
  <c r="I73" i="10"/>
  <c r="I44" i="10"/>
  <c r="J39" i="10"/>
  <c r="J54" i="10"/>
  <c r="J68" i="10"/>
  <c r="J88" i="10"/>
  <c r="I41" i="10"/>
  <c r="J38" i="10"/>
  <c r="I39" i="10"/>
  <c r="J52" i="10"/>
  <c r="I54" i="10"/>
  <c r="J62" i="10"/>
  <c r="I68" i="10"/>
  <c r="J64" i="10"/>
  <c r="J77" i="10"/>
  <c r="J65" i="10"/>
  <c r="J73" i="10"/>
  <c r="J53" i="10"/>
  <c r="J67" i="10"/>
  <c r="I52" i="10"/>
  <c r="I48" i="10"/>
  <c r="J99" i="10"/>
  <c r="I62" i="10"/>
  <c r="J41" i="10"/>
  <c r="I65" i="10"/>
  <c r="I53" i="10"/>
  <c r="J93" i="10"/>
  <c r="I67" i="10"/>
  <c r="J95" i="10"/>
  <c r="J61" i="10"/>
  <c r="I42" i="10"/>
  <c r="J87" i="10"/>
  <c r="J46" i="10"/>
  <c r="J48" i="10"/>
  <c r="J80" i="10"/>
  <c r="I61" i="10"/>
  <c r="I57" i="10"/>
  <c r="J94" i="10"/>
  <c r="J85" i="10"/>
  <c r="J71" i="10"/>
  <c r="I46" i="10"/>
  <c r="J60" i="10"/>
  <c r="J74" i="10"/>
  <c r="I71" i="10"/>
  <c r="I60" i="10"/>
  <c r="J70" i="10"/>
  <c r="I74" i="10"/>
  <c r="J45" i="10"/>
  <c r="J57" i="10"/>
  <c r="J79" i="10"/>
  <c r="J76" i="10"/>
  <c r="I70" i="10"/>
  <c r="J43" i="10"/>
  <c r="J69" i="10"/>
  <c r="I45" i="10"/>
  <c r="I76" i="10"/>
  <c r="J86" i="10"/>
  <c r="I43" i="10"/>
  <c r="I69" i="10"/>
  <c r="J50" i="10"/>
  <c r="J81" i="10"/>
  <c r="J51" i="10"/>
  <c r="J92" i="10"/>
  <c r="J47" i="10"/>
  <c r="J97" i="10"/>
  <c r="J89" i="10"/>
  <c r="J100" i="10"/>
  <c r="J75" i="10"/>
  <c r="I50" i="10"/>
  <c r="I56" i="10"/>
  <c r="J58" i="10"/>
  <c r="I51" i="10"/>
  <c r="J91" i="10"/>
  <c r="I47" i="10"/>
  <c r="J40" i="10"/>
  <c r="J78" i="10"/>
  <c r="J59" i="10"/>
  <c r="J66" i="10"/>
  <c r="I75" i="10"/>
  <c r="J72" i="10"/>
  <c r="J56" i="10"/>
  <c r="I58" i="10"/>
  <c r="J82" i="10"/>
  <c r="J102" i="10"/>
  <c r="J84" i="10"/>
  <c r="J42" i="10"/>
  <c r="I40" i="10"/>
  <c r="J98" i="10"/>
  <c r="I59" i="10"/>
  <c r="I66" i="10"/>
  <c r="J90" i="10"/>
  <c r="I72" i="10"/>
  <c r="B31" i="10"/>
  <c r="H19" i="10"/>
  <c r="I19" i="10" s="1"/>
  <c r="J19" i="10" s="1"/>
  <c r="H17" i="10"/>
  <c r="I17" i="10" s="1"/>
  <c r="J17" i="10" s="1"/>
  <c r="B19" i="10"/>
  <c r="C19" i="10" s="1"/>
  <c r="D19" i="10" s="1"/>
  <c r="Q14" i="10"/>
  <c r="B17" i="10"/>
  <c r="C17" i="10" s="1"/>
  <c r="D17" i="10" s="1"/>
  <c r="H30" i="10"/>
  <c r="I30" i="10"/>
  <c r="B61" i="9"/>
  <c r="C61" i="9" s="1"/>
  <c r="D61" i="9" s="1"/>
  <c r="C55" i="9"/>
  <c r="B59" i="9"/>
  <c r="C59" i="9" s="1"/>
  <c r="D59" i="9" s="1"/>
  <c r="B57" i="9"/>
  <c r="B63" i="9" s="1"/>
  <c r="B62" i="9"/>
  <c r="C62" i="9" s="1"/>
  <c r="D62" i="9" s="1"/>
  <c r="B31" i="9"/>
  <c r="B29" i="9"/>
  <c r="B57" i="5"/>
  <c r="B63" i="5" s="1"/>
  <c r="B59" i="5"/>
  <c r="C59" i="5" s="1"/>
  <c r="D59" i="5" s="1"/>
  <c r="C55" i="5"/>
  <c r="B22" i="5"/>
  <c r="B23" i="5" s="1"/>
  <c r="H18" i="16" l="1"/>
  <c r="H20" i="16"/>
  <c r="I20" i="16" s="1"/>
  <c r="J20" i="16" s="1"/>
  <c r="I16" i="16"/>
  <c r="C16" i="16"/>
  <c r="B18" i="16"/>
  <c r="B20" i="16"/>
  <c r="C20" i="16" s="1"/>
  <c r="D20" i="16" s="1"/>
  <c r="I31" i="16"/>
  <c r="H31" i="16"/>
  <c r="I16" i="10"/>
  <c r="I29" i="10" s="1"/>
  <c r="K55" i="10"/>
  <c r="L30" i="10"/>
  <c r="K73" i="10"/>
  <c r="E78" i="10"/>
  <c r="E83" i="10"/>
  <c r="E44" i="10"/>
  <c r="E84" i="10"/>
  <c r="E77" i="10"/>
  <c r="E62" i="10"/>
  <c r="E50" i="10"/>
  <c r="E52" i="10"/>
  <c r="K83" i="10"/>
  <c r="K90" i="10"/>
  <c r="E70" i="10"/>
  <c r="E100" i="10"/>
  <c r="E41" i="10"/>
  <c r="E46" i="10"/>
  <c r="E38" i="10"/>
  <c r="E63" i="10"/>
  <c r="E89" i="10"/>
  <c r="E67" i="10"/>
  <c r="E37" i="10"/>
  <c r="E57" i="10"/>
  <c r="E75" i="10"/>
  <c r="E45" i="10"/>
  <c r="E98" i="10"/>
  <c r="E99" i="10"/>
  <c r="E64" i="10"/>
  <c r="E40" i="10"/>
  <c r="E101" i="10"/>
  <c r="E71" i="10"/>
  <c r="E91" i="10"/>
  <c r="E65" i="10"/>
  <c r="E42" i="10"/>
  <c r="E94" i="10"/>
  <c r="E95" i="10"/>
  <c r="E72" i="10"/>
  <c r="E86" i="10"/>
  <c r="E51" i="10"/>
  <c r="E39" i="10"/>
  <c r="E66" i="10"/>
  <c r="E49" i="10"/>
  <c r="E96" i="10"/>
  <c r="E59" i="10"/>
  <c r="K44" i="10"/>
  <c r="E76" i="10"/>
  <c r="E56" i="10"/>
  <c r="K79" i="10"/>
  <c r="E79" i="10"/>
  <c r="K47" i="10"/>
  <c r="K37" i="10"/>
  <c r="E60" i="10"/>
  <c r="E68" i="10"/>
  <c r="E73" i="10"/>
  <c r="E81" i="10"/>
  <c r="K39" i="10"/>
  <c r="K49" i="10"/>
  <c r="K69" i="10"/>
  <c r="E54" i="10"/>
  <c r="E87" i="10"/>
  <c r="E47" i="10"/>
  <c r="K101" i="10"/>
  <c r="K86" i="10"/>
  <c r="K67" i="10"/>
  <c r="K97" i="10"/>
  <c r="K91" i="10"/>
  <c r="K56" i="10"/>
  <c r="K95" i="10"/>
  <c r="K85" i="10"/>
  <c r="K71" i="10"/>
  <c r="K62" i="10"/>
  <c r="K68" i="10"/>
  <c r="K93" i="10"/>
  <c r="K40" i="10"/>
  <c r="K80" i="10"/>
  <c r="K60" i="10"/>
  <c r="K64" i="10"/>
  <c r="K89" i="10"/>
  <c r="K38" i="10"/>
  <c r="K54" i="10"/>
  <c r="K88" i="10"/>
  <c r="K41" i="10"/>
  <c r="K58" i="10"/>
  <c r="K75" i="10"/>
  <c r="K77" i="10"/>
  <c r="K51" i="10"/>
  <c r="K50" i="10"/>
  <c r="K45" i="10"/>
  <c r="K87" i="10"/>
  <c r="K98" i="10"/>
  <c r="K57" i="10"/>
  <c r="K66" i="10"/>
  <c r="K48" i="10"/>
  <c r="K81" i="10"/>
  <c r="K52" i="10"/>
  <c r="K53" i="10"/>
  <c r="K100" i="10"/>
  <c r="K72" i="10"/>
  <c r="K59" i="10"/>
  <c r="K74" i="10"/>
  <c r="K94" i="10"/>
  <c r="K76" i="10"/>
  <c r="K99" i="10"/>
  <c r="K42" i="10"/>
  <c r="K70" i="10"/>
  <c r="K65" i="10"/>
  <c r="K92" i="10"/>
  <c r="K63" i="10"/>
  <c r="K96" i="10"/>
  <c r="K84" i="10"/>
  <c r="K82" i="10"/>
  <c r="K61" i="10"/>
  <c r="K46" i="10"/>
  <c r="K78" i="10"/>
  <c r="K43" i="10"/>
  <c r="J16" i="10"/>
  <c r="J18" i="10" s="1"/>
  <c r="I18" i="10"/>
  <c r="B20" i="10"/>
  <c r="C20" i="10" s="1"/>
  <c r="D20" i="10" s="1"/>
  <c r="C16" i="10"/>
  <c r="H29" i="10" s="1"/>
  <c r="B18" i="10"/>
  <c r="H18" i="10"/>
  <c r="D55" i="9"/>
  <c r="D57" i="9" s="1"/>
  <c r="D63" i="9" s="1"/>
  <c r="C57" i="9"/>
  <c r="C63" i="9" s="1"/>
  <c r="D55" i="5"/>
  <c r="D57" i="5" s="1"/>
  <c r="D63" i="5" s="1"/>
  <c r="C57" i="5"/>
  <c r="C63" i="5" s="1"/>
  <c r="B28" i="5"/>
  <c r="B31" i="5" s="1"/>
  <c r="D16" i="16" l="1"/>
  <c r="D18" i="16" s="1"/>
  <c r="C18" i="16"/>
  <c r="H29" i="16"/>
  <c r="J16" i="16"/>
  <c r="J18" i="16" s="1"/>
  <c r="I18" i="16"/>
  <c r="I29" i="16"/>
  <c r="C18" i="10"/>
  <c r="D16" i="10"/>
  <c r="D18" i="10" s="1"/>
  <c r="B29" i="5"/>
  <c r="L29" i="16" l="1"/>
  <c r="J29" i="16"/>
  <c r="J29" i="10"/>
  <c r="L29" i="10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81E9ABF-DDCF-4A4D-B7C0-4C05A4A31B83}" keepAlive="1" name="Query - keyence toc 100 do" description="Connection to the 'keyence toc 100 do' query in the workbook." type="5" refreshedVersion="8" background="1" saveData="1">
    <dbPr connection="Provider=Microsoft.Mashup.OleDb.1;Data Source=$Workbook$;Location=&quot;keyence toc 100 do&quot;;Extended Properties=&quot;&quot;" command="SELECT * FROM [keyence toc 100 do]"/>
  </connection>
  <connection id="2" xr16:uid="{E1B56894-70CA-4FFC-BB23-787677033FD1}" keepAlive="1" name="Query - mau do toc 100" description="Connection to the 'mau do toc 100' query in the workbook." type="5" refreshedVersion="8" background="1" saveData="1">
    <dbPr connection="Provider=Microsoft.Mashup.OleDb.1;Data Source=$Workbook$;Location=&quot;mau do toc 100&quot;;Extended Properties=&quot;&quot;" command="SELECT * FROM [mau do toc 100]"/>
  </connection>
  <connection id="3" xr16:uid="{A06D1DE7-A48A-4ACC-A339-5073A4A7496E}" keepAlive="1" name="Query - mau do toc 200" description="Connection to the 'mau do toc 200' query in the workbook." type="5" refreshedVersion="8" background="1" saveData="1">
    <dbPr connection="Provider=Microsoft.Mashup.OleDb.1;Data Source=$Workbook$;Location=&quot;mau do toc 200&quot;;Extended Properties=&quot;&quot;" command="SELECT * FROM [mau do toc 200]"/>
  </connection>
  <connection id="4" xr16:uid="{BE71E6D9-927E-4D7A-9576-1EC3FC86D6CD}" keepAlive="1" name="Query - mau do toc 300" description="Connection to the 'mau do toc 300' query in the workbook." type="5" refreshedVersion="8" background="1" saveData="1">
    <dbPr connection="Provider=Microsoft.Mashup.OleDb.1;Data Source=$Workbook$;Location=&quot;mau do toc 300&quot;;Extended Properties=&quot;&quot;" command="SELECT * FROM [mau do toc 300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<sst xmlns="http://schemas.openxmlformats.org/spreadsheetml/2006/main" count="3665" uniqueCount="166">
  <si>
    <t>Event_No</t>
  </si>
  <si>
    <t>0xFF00</t>
  </si>
  <si>
    <t>0xFF02</t>
  </si>
  <si>
    <t>#</t>
  </si>
  <si>
    <t>Trạng thái</t>
  </si>
  <si>
    <t>Ghi chú</t>
  </si>
  <si>
    <t>PHÂN TÍCH IN_2 - CÔNG THỨC ĐỘNG</t>
  </si>
  <si>
    <t>THỐNG KÊ TỔNG QUAN</t>
  </si>
  <si>
    <t>Chỉ số</t>
  </si>
  <si>
    <t>Công thức</t>
  </si>
  <si>
    <t>Kết quả</t>
  </si>
  <si>
    <t>Tổng samples</t>
  </si>
  <si>
    <t>Samples ON (IN_2=1)</t>
  </si>
  <si>
    <t>Samples OFF (IN_2=0)</t>
  </si>
  <si>
    <t>Tỷ lệ ON (%)</t>
  </si>
  <si>
    <t>Số lần bật ON (0→1)</t>
  </si>
  <si>
    <t>Số lần tắt OFF (1→0)</t>
  </si>
  <si>
    <t>Tổng chuyển đổi</t>
  </si>
  <si>
    <t>Thời lượng ON TB (samples)</t>
  </si>
  <si>
    <t>DANH SÁCH SỰ KIỆN (Công thức động)</t>
  </si>
  <si>
    <t>Time (s)</t>
  </si>
  <si>
    <t>Tổng thời gian test (s)</t>
  </si>
  <si>
    <t>TÍNH TOÁN SỐ VÒNG QUAY</t>
  </si>
  <si>
    <t>Giá trị</t>
  </si>
  <si>
    <t>Chọn RPM</t>
  </si>
  <si>
    <t>Chọn số ô trên đĩa</t>
  </si>
  <si>
    <t>ô</t>
  </si>
  <si>
    <t>Số vòng đã quay</t>
  </si>
  <si>
    <t>SO SÁNH KẾT QUẢ</t>
  </si>
  <si>
    <t>Số xung đếm được (ON)</t>
  </si>
  <si>
    <t>%</t>
  </si>
  <si>
    <t>Thời gian test</t>
  </si>
  <si>
    <t>Sai lệch (Đếm - LT)</t>
  </si>
  <si>
    <t>xung</t>
  </si>
  <si>
    <t>Số ô giống nhau trên đĩa</t>
  </si>
  <si>
    <t>Số xung LT điều chỉnh</t>
  </si>
  <si>
    <t>TỶ LỆ CHÍNH XÁC (xung)</t>
  </si>
  <si>
    <t xml:space="preserve">Số ô màu đã chạy </t>
  </si>
  <si>
    <t>Số màu lấy mẫu phải nhận</t>
  </si>
  <si>
    <t>Đơn vị</t>
  </si>
  <si>
    <t>ms</t>
  </si>
  <si>
    <t>samples</t>
  </si>
  <si>
    <t>lần</t>
  </si>
  <si>
    <t>giây (s)</t>
  </si>
  <si>
    <t>vòng/phút (RPM)</t>
  </si>
  <si>
    <t>vòng</t>
  </si>
  <si>
    <t>màu</t>
  </si>
  <si>
    <t>Chu kỳ trung bình (ON+OFF)</t>
  </si>
  <si>
    <t>Thời lượng ON min</t>
  </si>
  <si>
    <t>Thời lượng ON max</t>
  </si>
  <si>
    <t>Thời lượng OFF min</t>
  </si>
  <si>
    <t>Thời lượng OFF max</t>
  </si>
  <si>
    <t>Độ lệch chuẩn chu kỳ</t>
  </si>
  <si>
    <t>Duration (ms)</t>
  </si>
  <si>
    <t>⚙️ CẤU HÌNH DỮ LIỆU</t>
  </si>
  <si>
    <t>Tên Sheet Dữ Liệu:</t>
  </si>
  <si>
    <t>keyence toc 100 do</t>
  </si>
  <si>
    <t>Cột thời gian (A):</t>
  </si>
  <si>
    <t>A</t>
  </si>
  <si>
    <t>Cột IN_2 (E):</t>
  </si>
  <si>
    <t>E</t>
  </si>
  <si>
    <t>📝 Thay đổi tên sheet ở ô vàng để đọc dữ liệu khác</t>
  </si>
  <si>
    <t>THỜI GIAN CHUYỂN MẠCH - ĐA ĐƠN VỊ</t>
  </si>
  <si>
    <t>µs (micro)</t>
  </si>
  <si>
    <t>ms (mili)</t>
  </si>
  <si>
    <t>s (giây)</t>
  </si>
  <si>
    <t>Sampling interval (s):</t>
  </si>
  <si>
    <t>Thời lượng ON trung bình</t>
  </si>
  <si>
    <t>Thời lượng OFF trung bình</t>
  </si>
  <si>
    <t>Tần số ước tính (Hz)</t>
  </si>
  <si>
    <t>≈ 1 sample × interval</t>
  </si>
  <si>
    <t>≈ 2 × ON_TB (ước tính)</t>
  </si>
  <si>
    <t>≈ 2 × OFF_TB (ước tính)</t>
  </si>
  <si>
    <t>Ước tính</t>
  </si>
  <si>
    <t>Hz = 1/chu_kỳ</t>
  </si>
  <si>
    <t>Tổng samples:</t>
  </si>
  <si>
    <t>Sampling rate (Hz):</t>
  </si>
  <si>
    <t>📐 BẢNG QUY ĐỔI ĐƠN VỊ</t>
  </si>
  <si>
    <t>Hệ số</t>
  </si>
  <si>
    <t>Từ</t>
  </si>
  <si>
    <t>µs → ms</t>
  </si>
  <si>
    <t>÷ 1,000</t>
  </si>
  <si>
    <t>micro giây</t>
  </si>
  <si>
    <t>µs / 1000</t>
  </si>
  <si>
    <t>ms → s</t>
  </si>
  <si>
    <t>mili giây</t>
  </si>
  <si>
    <t>ms / 1000</t>
  </si>
  <si>
    <t>µs → s</t>
  </si>
  <si>
    <t>÷ 1,000,000</t>
  </si>
  <si>
    <t>µs / 1000000</t>
  </si>
  <si>
    <t>s → ms</t>
  </si>
  <si>
    <t>× 1,000</t>
  </si>
  <si>
    <t>giây</t>
  </si>
  <si>
    <t>s × 1000</t>
  </si>
  <si>
    <t>ms → µs</t>
  </si>
  <si>
    <t>ms × 1000</t>
  </si>
  <si>
    <t>s → µs</t>
  </si>
  <si>
    <t>× 1,000,000</t>
  </si>
  <si>
    <t>s × 1000000</t>
  </si>
  <si>
    <t>📖 HƯỚNG DẪN SỬ DỤNG</t>
  </si>
  <si>
    <t>1. Nhập tên sheet dữ liệu vào ô màu vàng (L3)</t>
  </si>
  <si>
    <t>ON_TB x interval</t>
  </si>
  <si>
    <t>OFF_TB x interval</t>
  </si>
  <si>
    <t>ON + OFF</t>
  </si>
  <si>
    <t>D</t>
  </si>
  <si>
    <t>Thời gian test (s):</t>
  </si>
  <si>
    <t>Samples ON (=1)</t>
  </si>
  <si>
    <t>Samples OFF (=0)</t>
  </si>
  <si>
    <t>Rising edge</t>
  </si>
  <si>
    <t>Falling edge</t>
  </si>
  <si>
    <t>Thời lượng ON TB</t>
  </si>
  <si>
    <t>Thời lượng OFF TB</t>
  </si>
  <si>
    <t>Chu kỳ TB (ON+OFF)</t>
  </si>
  <si>
    <t>ON_TB × interval</t>
  </si>
  <si>
    <t>OFF_TB × interval</t>
  </si>
  <si>
    <t>IN_1</t>
  </si>
  <si>
    <t>IN_2</t>
  </si>
  <si>
    <t>Chênh lệch</t>
  </si>
  <si>
    <t>Nhận xét</t>
  </si>
  <si>
    <t>Samples ON</t>
  </si>
  <si>
    <t>Số lần ON</t>
  </si>
  <si>
    <t>Thời lượng ON TB (ms)</t>
  </si>
  <si>
    <t>Cột IN_1 (D):</t>
  </si>
  <si>
    <t>Nhập giá trị</t>
  </si>
  <si>
    <t>Số ô màu đã chạy</t>
  </si>
  <si>
    <t>1. Nhập tên sheet dữ liệu vào ô màu VÀNG (Q3)</t>
  </si>
  <si>
    <t>2. Thay đổi cột dữ liệu tại Q5, Q6, Q7</t>
  </si>
  <si>
    <t>3. Nhập RPM và số ô đĩa tại B27, B28, B29</t>
  </si>
  <si>
    <t>4. Tất cả công thức tự động cập nhật</t>
  </si>
  <si>
    <t>5. Hoạt động với mọi độ dài dữ liệu</t>
  </si>
  <si>
    <t>Trạng thái IN_1</t>
  </si>
  <si>
    <t>Samples</t>
  </si>
  <si>
    <t>ON (=1)</t>
  </si>
  <si>
    <t>OFF (=0)</t>
  </si>
  <si>
    <t>Trạng thái IN_2</t>
  </si>
  <si>
    <t>📊 BIỂU ĐỒ TỶ LỆ ON/OFF</t>
  </si>
  <si>
    <t xml:space="preserve"> TÍNH TOÁN SỐ VÒNG QUAY</t>
  </si>
  <si>
    <t xml:space="preserve"> THỜI GIAN CHUYỂN MẠCH IN_1</t>
  </si>
  <si>
    <t xml:space="preserve"> PHÂN TÍCH IN_1 (Cột D)</t>
  </si>
  <si>
    <t>PHÂN TÍCH IN_2 (Cột E)</t>
  </si>
  <si>
    <t xml:space="preserve"> THỜI GIAN CHUYỂN MẠCH IN_2</t>
  </si>
  <si>
    <t xml:space="preserve"> SO SÁNH IN_1 vs IN_2</t>
  </si>
  <si>
    <t xml:space="preserve">DANH SÁCH SỰ KIỆN IN_1 </t>
  </si>
  <si>
    <t>DANH SÁCH SỰ KIỆN IN_2</t>
  </si>
  <si>
    <t xml:space="preserve">TỶ LỆ CHÍNH XÁC </t>
  </si>
  <si>
    <t>Time</t>
  </si>
  <si>
    <t>Hex</t>
  </si>
  <si>
    <t>IN_3</t>
  </si>
  <si>
    <t>IN_4</t>
  </si>
  <si>
    <t>IN_5</t>
  </si>
  <si>
    <t>IN_6</t>
  </si>
  <si>
    <t>IN_7</t>
  </si>
  <si>
    <t>IN_8</t>
  </si>
  <si>
    <t>IN_9</t>
  </si>
  <si>
    <t>IN_10</t>
  </si>
  <si>
    <t>IN_11</t>
  </si>
  <si>
    <t>IN_12</t>
  </si>
  <si>
    <t>IN_13</t>
  </si>
  <si>
    <t>IN_14</t>
  </si>
  <si>
    <t>IN_15</t>
  </si>
  <si>
    <t>IN_16</t>
  </si>
  <si>
    <t>mau do toc 300</t>
  </si>
  <si>
    <t>mau do toc 200</t>
  </si>
  <si>
    <t>BẢNG QUY ĐỔI ĐƠN VỊ</t>
  </si>
  <si>
    <t xml:space="preserve"> CẤU HÌNH DỮ LIỆU</t>
  </si>
  <si>
    <t xml:space="preserve"> Thay đổi tên sheet ở ô vàng để đọc dữ liệu khác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</si>
</sst>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F400]h:mm:ss\ AM/PM"/>
    <numFmt numFmtId="165" formatCode="0.000"/>
    <numFmt numFmtId="166" formatCode="0.00\%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i/>
      <sz val="11"/>
      <color rgb="FF666666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rgb="FFFFFFFF"/>
      <name val="Aptos Narrow"/>
      <family val="2"/>
      <scheme val="minor"/>
    </font>
    <font>
      <b/>
      <sz val="14"/>
      <color rgb="FF1F4E79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D9E2F3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B4C6E7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FCE4D6"/>
        <bgColor indexed="64"/>
      </patternFill>
    </fill>
    <fill>
      <patternFill patternType="solid">
        <fgColor rgb="FFC8E6C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FFE699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E2D5F0"/>
        <bgColor indexed="64"/>
      </patternFill>
    </fill>
  </fills>
  <borders count="3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auto="1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auto="1"/>
      </top>
      <bottom style="thin">
        <color rgb="FFD9D9D9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auto="1"/>
      </left>
      <right style="thin">
        <color rgb="FFD9D9D9"/>
      </right>
      <top style="thin">
        <color rgb="FFD9D9D9"/>
      </top>
      <bottom style="thin">
        <color auto="1"/>
      </bottom>
      <diagonal/>
    </border>
    <border>
      <left style="thin">
        <color rgb="FFD9D9D9"/>
      </left>
      <right style="thin">
        <color auto="1"/>
      </right>
      <top style="thin">
        <color rgb="FFD9D9D9"/>
      </top>
      <bottom style="thin">
        <color auto="1"/>
      </bottom>
      <diagonal/>
    </border>
  </borders>
  <cellStyleXfs count="1">
    <xf numFmtId="0" fontId="0" fillId="0" borderId="0"/>
  </cellStyleXfs>
  <cellXfs count="145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3" borderId="0" xfId="0" applyFont="1" applyFill="1"/>
    <xf numFmtId="2" fontId="0" fillId="0" borderId="0" xfId="0" applyNumberFormat="1"/>
    <xf numFmtId="0" fontId="1" fillId="10" borderId="0" xfId="0" applyFont="1" applyFill="1"/>
    <xf numFmtId="165" fontId="0" fillId="0" borderId="0" xfId="0" applyNumberFormat="1"/>
    <xf numFmtId="0" fontId="0" fillId="0" borderId="1" xfId="0" applyBorder="1"/>
    <xf numFmtId="2" fontId="0" fillId="0" borderId="1" xfId="0" applyNumberFormat="1" applyBorder="1"/>
    <xf numFmtId="0" fontId="1" fillId="4" borderId="1" xfId="0" applyFont="1" applyFill="1" applyBorder="1"/>
    <xf numFmtId="0" fontId="0" fillId="6" borderId="1" xfId="0" applyFill="1" applyBorder="1"/>
    <xf numFmtId="0" fontId="0" fillId="7" borderId="1" xfId="0" applyFill="1" applyBorder="1"/>
    <xf numFmtId="2" fontId="0" fillId="7" borderId="1" xfId="0" applyNumberFormat="1" applyFill="1" applyBorder="1"/>
    <xf numFmtId="0" fontId="1" fillId="0" borderId="1" xfId="0" applyFont="1" applyBorder="1"/>
    <xf numFmtId="0" fontId="1" fillId="11" borderId="0" xfId="0" applyFont="1" applyFill="1"/>
    <xf numFmtId="0" fontId="1" fillId="5" borderId="1" xfId="0" applyFont="1" applyFill="1" applyBorder="1"/>
    <xf numFmtId="1" fontId="0" fillId="6" borderId="1" xfId="0" applyNumberFormat="1" applyFill="1" applyBorder="1"/>
    <xf numFmtId="2" fontId="0" fillId="6" borderId="1" xfId="0" applyNumberFormat="1" applyFill="1" applyBorder="1"/>
    <xf numFmtId="1" fontId="1" fillId="7" borderId="1" xfId="0" applyNumberFormat="1" applyFont="1" applyFill="1" applyBorder="1"/>
    <xf numFmtId="1" fontId="1" fillId="10" borderId="1" xfId="0" applyNumberFormat="1" applyFont="1" applyFill="1" applyBorder="1"/>
    <xf numFmtId="0" fontId="1" fillId="6" borderId="1" xfId="0" applyFont="1" applyFill="1" applyBorder="1"/>
    <xf numFmtId="2" fontId="2" fillId="4" borderId="1" xfId="0" applyNumberFormat="1" applyFont="1" applyFill="1" applyBorder="1"/>
    <xf numFmtId="0" fontId="0" fillId="7" borderId="0" xfId="0" applyFill="1"/>
    <xf numFmtId="0" fontId="6" fillId="0" borderId="0" xfId="0" applyFont="1"/>
    <xf numFmtId="0" fontId="1" fillId="7" borderId="0" xfId="0" applyFont="1" applyFill="1"/>
    <xf numFmtId="0" fontId="0" fillId="0" borderId="2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1" fillId="14" borderId="1" xfId="0" applyFont="1" applyFill="1" applyBorder="1"/>
    <xf numFmtId="0" fontId="0" fillId="0" borderId="20" xfId="0" applyBorder="1"/>
    <xf numFmtId="0" fontId="0" fillId="0" borderId="21" xfId="0" applyBorder="1"/>
    <xf numFmtId="0" fontId="0" fillId="0" borderId="6" xfId="0" applyBorder="1"/>
    <xf numFmtId="0" fontId="1" fillId="16" borderId="1" xfId="0" applyFont="1" applyFill="1" applyBorder="1"/>
    <xf numFmtId="0" fontId="1" fillId="17" borderId="1" xfId="0" applyFont="1" applyFill="1" applyBorder="1"/>
    <xf numFmtId="0" fontId="1" fillId="19" borderId="1" xfId="0" applyFont="1" applyFill="1" applyBorder="1"/>
    <xf numFmtId="0" fontId="0" fillId="12" borderId="1" xfId="0" applyFill="1" applyBorder="1"/>
    <xf numFmtId="0" fontId="1" fillId="22" borderId="1" xfId="0" applyFont="1" applyFill="1" applyBorder="1"/>
    <xf numFmtId="0" fontId="0" fillId="10" borderId="0" xfId="0" applyFill="1"/>
    <xf numFmtId="0" fontId="0" fillId="14" borderId="0" xfId="0" applyFill="1"/>
    <xf numFmtId="0" fontId="1" fillId="0" borderId="20" xfId="0" applyFont="1" applyBorder="1"/>
    <xf numFmtId="0" fontId="4" fillId="15" borderId="0" xfId="0" applyFont="1" applyFill="1"/>
    <xf numFmtId="0" fontId="4" fillId="18" borderId="0" xfId="0" applyFont="1" applyFill="1"/>
    <xf numFmtId="166" fontId="0" fillId="0" borderId="0" xfId="0" applyNumberFormat="1"/>
    <xf numFmtId="0" fontId="0" fillId="0" borderId="0" xfId="0" applyProtection="1">
      <protection locked="0"/>
    </xf>
    <xf numFmtId="0" fontId="0" fillId="0" borderId="20" xfId="0" applyBorder="1" applyProtection="1">
      <protection locked="0"/>
    </xf>
    <xf numFmtId="0" fontId="0" fillId="0" borderId="21" xfId="0" applyBorder="1" applyProtection="1">
      <protection locked="0"/>
    </xf>
    <xf numFmtId="0" fontId="0" fillId="0" borderId="1" xfId="0" applyBorder="1" applyProtection="1">
      <protection locked="0"/>
    </xf>
    <xf numFmtId="0" fontId="1" fillId="0" borderId="20" xfId="0" applyFont="1" applyBorder="1" applyProtection="1">
      <protection locked="0"/>
    </xf>
    <xf numFmtId="0" fontId="0" fillId="0" borderId="7" xfId="0" applyBorder="1" applyProtection="1">
      <protection locked="0"/>
    </xf>
    <xf numFmtId="0" fontId="1" fillId="17" borderId="1" xfId="0" applyFont="1" applyFill="1" applyBorder="1" applyProtection="1">
      <protection locked="0"/>
    </xf>
    <xf numFmtId="0" fontId="1" fillId="14" borderId="1" xfId="0" applyFont="1" applyFill="1" applyBorder="1" applyProtection="1">
      <protection locked="0"/>
    </xf>
    <xf numFmtId="0" fontId="0" fillId="0" borderId="2" xfId="0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1" fillId="22" borderId="1" xfId="0" applyFont="1" applyFill="1" applyBorder="1" applyProtection="1">
      <protection locked="0"/>
    </xf>
    <xf numFmtId="0" fontId="0" fillId="12" borderId="1" xfId="0" applyFill="1" applyBorder="1" applyProtection="1">
      <protection locked="0"/>
    </xf>
    <xf numFmtId="0" fontId="1" fillId="0" borderId="1" xfId="0" applyFont="1" applyBorder="1" applyProtection="1">
      <protection locked="0"/>
    </xf>
    <xf numFmtId="0" fontId="4" fillId="2" borderId="22" xfId="0" applyFont="1" applyFill="1" applyBorder="1" applyProtection="1">
      <protection locked="0"/>
    </xf>
    <xf numFmtId="0" fontId="4" fillId="2" borderId="23" xfId="0" applyFont="1" applyFill="1" applyBorder="1" applyProtection="1">
      <protection locked="0"/>
    </xf>
    <xf numFmtId="0" fontId="4" fillId="2" borderId="24" xfId="0" applyFont="1" applyFill="1" applyBorder="1" applyProtection="1">
      <protection locked="0"/>
    </xf>
    <xf numFmtId="0" fontId="0" fillId="0" borderId="25" xfId="0" applyBorder="1" applyProtection="1">
      <protection locked="0"/>
    </xf>
    <xf numFmtId="0" fontId="0" fillId="0" borderId="29" xfId="0" applyBorder="1" applyProtection="1">
      <protection locked="0"/>
    </xf>
    <xf numFmtId="0" fontId="4" fillId="8" borderId="22" xfId="0" applyFont="1" applyFill="1" applyBorder="1" applyProtection="1">
      <protection locked="0"/>
    </xf>
    <xf numFmtId="0" fontId="4" fillId="8" borderId="23" xfId="0" applyFont="1" applyFill="1" applyBorder="1" applyProtection="1">
      <protection locked="0"/>
    </xf>
    <xf numFmtId="0" fontId="4" fillId="8" borderId="24" xfId="0" applyFont="1" applyFill="1" applyBorder="1" applyProtection="1">
      <protection locked="0"/>
    </xf>
    <xf numFmtId="0" fontId="9" fillId="21" borderId="1" xfId="0" applyFont="1" applyFill="1" applyBorder="1" applyProtection="1">
      <protection locked="0"/>
    </xf>
    <xf numFmtId="0" fontId="4" fillId="15" borderId="1" xfId="0" applyFont="1" applyFill="1" applyBorder="1" applyProtection="1">
      <protection locked="0"/>
    </xf>
    <xf numFmtId="0" fontId="4" fillId="18" borderId="1" xfId="0" applyFont="1" applyFill="1" applyBorder="1" applyProtection="1">
      <protection locked="0"/>
    </xf>
    <xf numFmtId="0" fontId="3" fillId="2" borderId="11" xfId="0" applyFont="1" applyFill="1" applyBorder="1" applyProtection="1">
      <protection locked="0"/>
    </xf>
    <xf numFmtId="0" fontId="3" fillId="2" borderId="9" xfId="0" applyFont="1" applyFill="1" applyBorder="1" applyProtection="1">
      <protection locked="0"/>
    </xf>
    <xf numFmtId="0" fontId="5" fillId="0" borderId="20" xfId="0" applyFont="1" applyBorder="1" applyProtection="1">
      <protection locked="0"/>
    </xf>
    <xf numFmtId="0" fontId="1" fillId="12" borderId="21" xfId="0" applyFont="1" applyFill="1" applyBorder="1" applyProtection="1">
      <protection locked="0"/>
    </xf>
    <xf numFmtId="0" fontId="0" fillId="7" borderId="21" xfId="0" applyFill="1" applyBorder="1" applyProtection="1">
      <protection locked="0"/>
    </xf>
    <xf numFmtId="0" fontId="0" fillId="10" borderId="21" xfId="0" applyFill="1" applyBorder="1" applyProtection="1">
      <protection locked="0"/>
    </xf>
    <xf numFmtId="0" fontId="0" fillId="14" borderId="21" xfId="0" applyFill="1" applyBorder="1" applyProtection="1">
      <protection locked="0"/>
    </xf>
    <xf numFmtId="0" fontId="1" fillId="14" borderId="15" xfId="0" applyFont="1" applyFill="1" applyBorder="1" applyProtection="1">
      <protection locked="0"/>
    </xf>
    <xf numFmtId="0" fontId="1" fillId="14" borderId="18" xfId="0" applyFont="1" applyFill="1" applyBorder="1" applyProtection="1">
      <protection locked="0"/>
    </xf>
    <xf numFmtId="0" fontId="0" fillId="0" borderId="15" xfId="0" applyBorder="1" applyProtection="1">
      <protection locked="0"/>
    </xf>
    <xf numFmtId="0" fontId="0" fillId="0" borderId="18" xfId="0" applyBorder="1" applyProtection="1">
      <protection locked="0"/>
    </xf>
    <xf numFmtId="0" fontId="0" fillId="0" borderId="16" xfId="0" applyBorder="1" applyProtection="1">
      <protection locked="0"/>
    </xf>
    <xf numFmtId="0" fontId="0" fillId="0" borderId="12" xfId="0" applyBorder="1" applyProtection="1">
      <protection locked="0"/>
    </xf>
    <xf numFmtId="0" fontId="0" fillId="0" borderId="19" xfId="0" applyBorder="1" applyProtection="1">
      <protection locked="0"/>
    </xf>
    <xf numFmtId="0" fontId="1" fillId="17" borderId="15" xfId="0" applyFont="1" applyFill="1" applyBorder="1" applyProtection="1">
      <protection locked="0"/>
    </xf>
    <xf numFmtId="0" fontId="1" fillId="17" borderId="18" xfId="0" applyFont="1" applyFill="1" applyBorder="1" applyProtection="1">
      <protection locked="0"/>
    </xf>
    <xf numFmtId="0" fontId="0" fillId="0" borderId="12" xfId="0" applyBorder="1"/>
    <xf numFmtId="166" fontId="0" fillId="0" borderId="1" xfId="0" applyNumberFormat="1" applyBorder="1"/>
    <xf numFmtId="0" fontId="0" fillId="0" borderId="26" xfId="0" applyBorder="1"/>
    <xf numFmtId="165" fontId="0" fillId="0" borderId="26" xfId="0" applyNumberFormat="1" applyBorder="1"/>
    <xf numFmtId="1" fontId="0" fillId="0" borderId="27" xfId="0" applyNumberFormat="1" applyBorder="1"/>
    <xf numFmtId="0" fontId="0" fillId="0" borderId="28" xfId="0" applyBorder="1"/>
    <xf numFmtId="165" fontId="0" fillId="0" borderId="28" xfId="0" applyNumberFormat="1" applyBorder="1"/>
    <xf numFmtId="1" fontId="0" fillId="0" borderId="30" xfId="0" applyNumberFormat="1" applyBorder="1"/>
    <xf numFmtId="0" fontId="8" fillId="20" borderId="1" xfId="0" applyFont="1" applyFill="1" applyBorder="1" applyProtection="1">
      <protection locked="0"/>
    </xf>
    <xf numFmtId="0" fontId="0" fillId="0" borderId="1" xfId="0" applyBorder="1" applyProtection="1">
      <protection locked="0"/>
    </xf>
    <xf numFmtId="0" fontId="9" fillId="15" borderId="10" xfId="0" applyFont="1" applyFill="1" applyBorder="1" applyProtection="1">
      <protection locked="0"/>
    </xf>
    <xf numFmtId="0" fontId="9" fillId="18" borderId="10" xfId="0" applyFont="1" applyFill="1" applyBorder="1" applyProtection="1">
      <protection locked="0"/>
    </xf>
    <xf numFmtId="0" fontId="0" fillId="0" borderId="10" xfId="0" applyBorder="1" applyProtection="1">
      <protection locked="0"/>
    </xf>
    <xf numFmtId="0" fontId="1" fillId="13" borderId="4" xfId="0" applyFont="1" applyFill="1" applyBorder="1" applyProtection="1">
      <protection locked="0"/>
    </xf>
    <xf numFmtId="0" fontId="0" fillId="0" borderId="3" xfId="0" applyBorder="1" applyProtection="1">
      <protection locked="0"/>
    </xf>
    <xf numFmtId="0" fontId="0" fillId="0" borderId="8" xfId="0" applyBorder="1" applyProtection="1">
      <protection locked="0"/>
    </xf>
    <xf numFmtId="0" fontId="3" fillId="15" borderId="0" xfId="0" applyFont="1" applyFill="1" applyProtection="1">
      <protection locked="0"/>
    </xf>
    <xf numFmtId="0" fontId="0" fillId="0" borderId="0" xfId="0" applyProtection="1">
      <protection locked="0"/>
    </xf>
    <xf numFmtId="0" fontId="1" fillId="16" borderId="14" xfId="0" applyFont="1" applyFill="1" applyBorder="1" applyProtection="1">
      <protection locked="0"/>
    </xf>
    <xf numFmtId="0" fontId="0" fillId="0" borderId="13" xfId="0" applyBorder="1" applyProtection="1">
      <protection locked="0"/>
    </xf>
    <xf numFmtId="0" fontId="0" fillId="0" borderId="17" xfId="0" applyBorder="1" applyProtection="1">
      <protection locked="0"/>
    </xf>
    <xf numFmtId="0" fontId="3" fillId="18" borderId="0" xfId="0" applyFont="1" applyFill="1" applyProtection="1">
      <protection locked="0"/>
    </xf>
    <xf numFmtId="0" fontId="1" fillId="19" borderId="14" xfId="0" applyFont="1" applyFill="1" applyBorder="1" applyProtection="1">
      <protection locked="0"/>
    </xf>
    <xf numFmtId="0" fontId="9" fillId="15" borderId="1" xfId="0" applyFont="1" applyFill="1" applyBorder="1"/>
    <xf numFmtId="0" fontId="9" fillId="18" borderId="1" xfId="0" applyFont="1" applyFill="1" applyBorder="1"/>
    <xf numFmtId="0" fontId="0" fillId="0" borderId="1" xfId="0" applyBorder="1"/>
    <xf numFmtId="0" fontId="4" fillId="8" borderId="11" xfId="0" applyFont="1" applyFill="1" applyBorder="1"/>
    <xf numFmtId="0" fontId="0" fillId="0" borderId="5" xfId="0" applyBorder="1"/>
    <xf numFmtId="0" fontId="0" fillId="0" borderId="9" xfId="0" applyBorder="1"/>
    <xf numFmtId="0" fontId="0" fillId="0" borderId="20" xfId="0" applyBorder="1"/>
    <xf numFmtId="0" fontId="0" fillId="0" borderId="0" xfId="0"/>
    <xf numFmtId="0" fontId="0" fillId="0" borderId="21" xfId="0" applyBorder="1"/>
    <xf numFmtId="0" fontId="0" fillId="0" borderId="7" xfId="0" applyBorder="1"/>
    <xf numFmtId="0" fontId="0" fillId="0" borderId="2" xfId="0" applyBorder="1"/>
    <xf numFmtId="0" fontId="0" fillId="0" borderId="6" xfId="0" applyBorder="1"/>
    <xf numFmtId="0" fontId="5" fillId="0" borderId="20" xfId="0" applyFont="1" applyBorder="1"/>
    <xf numFmtId="0" fontId="10" fillId="0" borderId="0" xfId="0" applyFont="1" applyAlignment="1">
      <alignment horizontal="center"/>
    </xf>
    <xf numFmtId="0" fontId="1" fillId="16" borderId="1" xfId="0" applyFont="1" applyFill="1" applyBorder="1"/>
    <xf numFmtId="0" fontId="1" fillId="19" borderId="1" xfId="0" applyFont="1" applyFill="1" applyBorder="1"/>
    <xf numFmtId="0" fontId="1" fillId="13" borderId="1" xfId="0" applyFont="1" applyFill="1" applyBorder="1"/>
    <xf numFmtId="0" fontId="8" fillId="20" borderId="1" xfId="0" applyFont="1" applyFill="1" applyBorder="1"/>
    <xf numFmtId="0" fontId="9" fillId="21" borderId="1" xfId="0" applyFont="1" applyFill="1" applyBorder="1"/>
    <xf numFmtId="0" fontId="3" fillId="15" borderId="0" xfId="0" applyFont="1" applyFill="1"/>
    <xf numFmtId="0" fontId="3" fillId="18" borderId="0" xfId="0" applyFont="1" applyFill="1"/>
    <xf numFmtId="0" fontId="3" fillId="2" borderId="11" xfId="0" applyFont="1" applyFill="1" applyBorder="1"/>
    <xf numFmtId="0" fontId="3" fillId="2" borderId="5" xfId="0" applyFont="1" applyFill="1" applyBorder="1"/>
    <xf numFmtId="0" fontId="3" fillId="2" borderId="9" xfId="0" applyFont="1" applyFill="1" applyBorder="1"/>
    <xf numFmtId="0" fontId="1" fillId="12" borderId="0" xfId="0" applyFont="1" applyFill="1"/>
    <xf numFmtId="0" fontId="4" fillId="2" borderId="0" xfId="0" applyFont="1" applyFill="1"/>
    <xf numFmtId="0" fontId="1" fillId="0" borderId="0" xfId="0" applyFont="1"/>
    <xf numFmtId="0" fontId="4" fillId="8" borderId="0" xfId="0" applyFont="1" applyFill="1"/>
    <xf numFmtId="0" fontId="1" fillId="13" borderId="0" xfId="0" applyFont="1" applyFill="1"/>
    <xf numFmtId="0" fontId="7" fillId="0" borderId="0" xfId="0" applyFont="1"/>
    <xf numFmtId="0" fontId="3" fillId="2" borderId="0" xfId="0" applyFont="1" applyFill="1" applyAlignment="1">
      <alignment horizontal="center"/>
    </xf>
    <xf numFmtId="0" fontId="0" fillId="2" borderId="0" xfId="0" applyFill="1"/>
    <xf numFmtId="0" fontId="3" fillId="2" borderId="0" xfId="0" applyFont="1" applyFill="1"/>
    <xf numFmtId="0" fontId="1" fillId="3" borderId="0" xfId="0" applyFont="1" applyFill="1"/>
    <xf numFmtId="0" fontId="0" fillId="3" borderId="0" xfId="0" applyFill="1"/>
    <xf numFmtId="0" fontId="4" fillId="9" borderId="0" xfId="0" applyFont="1" applyFill="1"/>
    <xf numFmtId="0" fontId="1" fillId="12" borderId="1" xfId="0" applyFont="1" applyFill="1" applyBorder="1"/>
    <xf numFmtId="0" fontId="6" fillId="0" borderId="0" xfId="0" applyFont="1"/>
  </cellXfs>
  <cellStyles count="1">
    <cellStyle name="Normal" xfId="0" builtinId="0"/>
  </cellStyles>
  <dxfs count="18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  <dxf>
      <numFmt numFmtId="0" formatCode="General"/>
    </dxf>
    <dxf>
      <numFmt numFmtId="164" formatCode="[$-F400]h:mm:ss\ AM/PM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onnections" Target="connections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🔴 TỶ LỆ ON/OFF - IN_1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 (2)'!$V$1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5EE2-442A-A73B-90E128BDC5C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5EE2-442A-A73B-90E128BDC5C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 (2)'!$U$2:$U$3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 (2)'!$V$2:$V$3</c:f>
              <c:numCache>
                <c:formatCode>General</c:formatCode>
                <c:ptCount val="2"/>
                <c:pt idx="0">
                  <c:v>0</c:v>
                </c:pt>
                <c:pt idx="1">
                  <c:v>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5EE2-442A-A73B-90E128BDC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🔵 TỶ LỆ ON/OFF - IN_2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 (2)'!$V$5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36BE-48E0-8AB4-A561CEC91624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36BE-48E0-8AB4-A561CEC9162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 (2)'!$U$6:$U$7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 (2)'!$V$6:$V$7</c:f>
              <c:numCache>
                <c:formatCode>General</c:formatCode>
                <c:ptCount val="2"/>
                <c:pt idx="0">
                  <c:v>124</c:v>
                </c:pt>
                <c:pt idx="1">
                  <c:v>870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36BE-48E0-8AB4-A561CEC916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🔴 TỶ LỆ ON/OFF - IN_1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IN_2'!$Q$16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8F9-4371-BB0C-1A3B2A1B2328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C8F9-4371-BB0C-1A3B2A1B2328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IN_2'!$P$17:$P$18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IN_2'!$Q$17:$Q$18</c:f>
              <c:numCache>
                <c:formatCode>General</c:formatCode>
                <c:ptCount val="2"/>
                <c:pt idx="0">
                  <c:v>0</c:v>
                </c:pt>
                <c:pt idx="1">
                  <c:v>994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8F9-4371-BB0C-1A3B2A1B23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🔵 TỶ LỆ ON/OFF - IN_2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'Phân tích IN_1 &amp; IN_2'!$Q$20</c:f>
              <c:strCache>
                <c:ptCount val="1"/>
                <c:pt idx="0">
                  <c:v>Samples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7690-4DB7-BABB-C66C27F64161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7690-4DB7-BABB-C66C27F6416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'Phân tích IN_1 &amp; IN_2'!$P$21:$P$22</c:f>
              <c:strCache>
                <c:ptCount val="2"/>
                <c:pt idx="0">
                  <c:v>ON (=1)</c:v>
                </c:pt>
                <c:pt idx="1">
                  <c:v>OFF (=0)</c:v>
                </c:pt>
              </c:strCache>
            </c:strRef>
          </c:cat>
          <c:val>
            <c:numRef>
              <c:f>'Phân tích IN_1 &amp; IN_2'!$Q$21:$Q$22</c:f>
              <c:numCache>
                <c:formatCode>General</c:formatCode>
                <c:ptCount val="2"/>
                <c:pt idx="0">
                  <c:v>122</c:v>
                </c:pt>
                <c:pt idx="1">
                  <c:v>872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7690-4DB7-BABB-C66C27F641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0</xdr:colOff>
      <xdr:row>9</xdr:row>
      <xdr:rowOff>0</xdr:rowOff>
    </xdr:from>
    <xdr:to>
      <xdr:col>26</xdr:col>
      <xdr:colOff>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C8AE2AD-6192-4625-AEE5-9D4280F3278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26</xdr:col>
      <xdr:colOff>0</xdr:colOff>
      <xdr:row>9</xdr:row>
      <xdr:rowOff>0</xdr:rowOff>
    </xdr:from>
    <xdr:to>
      <xdr:col>32</xdr:col>
      <xdr:colOff>0</xdr:colOff>
      <xdr:row>25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7AEDAA8-0E0A-4B9A-9DCA-9A3D1FBD9C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22</xdr:row>
      <xdr:rowOff>1</xdr:rowOff>
    </xdr:from>
    <xdr:to>
      <xdr:col>4</xdr:col>
      <xdr:colOff>734786</xdr:colOff>
      <xdr:row>22</xdr:row>
      <xdr:rowOff>3075214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02DE75B-6653-45D2-AACA-0B81169EAC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40821</xdr:colOff>
      <xdr:row>22</xdr:row>
      <xdr:rowOff>0</xdr:rowOff>
    </xdr:from>
    <xdr:to>
      <xdr:col>10</xdr:col>
      <xdr:colOff>775606</xdr:colOff>
      <xdr:row>22</xdr:row>
      <xdr:rowOff>3061607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F7347BAD-0630-4EFA-9110-01D28E599E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4" xr16:uid="{8D7D2348-FC7B-44E1-90C9-688EE5ED1AA6}" autoFormatId="16" applyNumberFormats="0" applyBorderFormats="0" applyFontFormats="0" applyPatternFormats="0" applyAlignmentFormats="0" applyWidthHeightFormats="0">
  <queryTableRefresh nextId="20">
    <queryTableFields count="19">
      <queryTableField id="1" name="Time" tableColumnId="1"/>
      <queryTableField id="2" name="Hex" tableColumnId="2"/>
      <queryTableField id="3" name="Event_No" tableColumnId="3"/>
      <queryTableField id="4" name="IN_1" tableColumnId="4"/>
      <queryTableField id="5" name="IN_2" tableColumnId="5"/>
      <queryTableField id="6" name="IN_3" tableColumnId="6"/>
      <queryTableField id="7" name="IN_4" tableColumnId="7"/>
      <queryTableField id="8" name="IN_5" tableColumnId="8"/>
      <queryTableField id="9" name="IN_6" tableColumnId="9"/>
      <queryTableField id="10" name="IN_7" tableColumnId="10"/>
      <queryTableField id="11" name="IN_8" tableColumnId="11"/>
      <queryTableField id="12" name="IN_9" tableColumnId="12"/>
      <queryTableField id="13" name="IN_10" tableColumnId="13"/>
      <queryTableField id="14" name="IN_11" tableColumnId="14"/>
      <queryTableField id="15" name="IN_12" tableColumnId="15"/>
      <queryTableField id="16" name="IN_13" tableColumnId="16"/>
      <queryTableField id="17" name="IN_14" tableColumnId="17"/>
      <queryTableField id="18" name="IN_15" tableColumnId="18"/>
      <queryTableField id="19" name="IN_16" tableColumnId="19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3" xr16:uid="{9AB4A6CF-EACB-4A48-8D03-37E59AD86655}" autoFormatId="16" applyNumberFormats="0" applyBorderFormats="0" applyFontFormats="0" applyPatternFormats="0" applyAlignmentFormats="0" applyWidthHeightFormats="0">
  <queryTableRefresh nextId="20">
    <queryTableFields count="19">
      <queryTableField id="1" name="Time" tableColumnId="1"/>
      <queryTableField id="2" name="Hex" tableColumnId="2"/>
      <queryTableField id="3" name="Event_No" tableColumnId="3"/>
      <queryTableField id="4" name="IN_1" tableColumnId="4"/>
      <queryTableField id="5" name="IN_2" tableColumnId="5"/>
      <queryTableField id="6" name="IN_3" tableColumnId="6"/>
      <queryTableField id="7" name="IN_4" tableColumnId="7"/>
      <queryTableField id="8" name="IN_5" tableColumnId="8"/>
      <queryTableField id="9" name="IN_6" tableColumnId="9"/>
      <queryTableField id="10" name="IN_7" tableColumnId="10"/>
      <queryTableField id="11" name="IN_8" tableColumnId="11"/>
      <queryTableField id="12" name="IN_9" tableColumnId="12"/>
      <queryTableField id="13" name="IN_10" tableColumnId="13"/>
      <queryTableField id="14" name="IN_11" tableColumnId="14"/>
      <queryTableField id="15" name="IN_12" tableColumnId="15"/>
      <queryTableField id="16" name="IN_13" tableColumnId="16"/>
      <queryTableField id="17" name="IN_14" tableColumnId="17"/>
      <queryTableField id="18" name="IN_15" tableColumnId="18"/>
      <queryTableField id="19" name="IN_16" tableColumnId="19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2" xr16:uid="{B58D9986-01F6-4B3F-9690-CC80A5792D82}" autoFormatId="16" applyNumberFormats="0" applyBorderFormats="0" applyFontFormats="0" applyPatternFormats="0" applyAlignmentFormats="0" applyWidthHeightFormats="0">
  <queryTableRefresh nextId="20">
    <queryTableFields count="19">
      <queryTableField id="1" name="Time" tableColumnId="1"/>
      <queryTableField id="2" name="Hex" tableColumnId="2"/>
      <queryTableField id="3" name="Event_No" tableColumnId="3"/>
      <queryTableField id="4" name="IN_1" tableColumnId="4"/>
      <queryTableField id="5" name="IN_2" tableColumnId="5"/>
      <queryTableField id="6" name="IN_3" tableColumnId="6"/>
      <queryTableField id="7" name="IN_4" tableColumnId="7"/>
      <queryTableField id="8" name="IN_5" tableColumnId="8"/>
      <queryTableField id="9" name="IN_6" tableColumnId="9"/>
      <queryTableField id="10" name="IN_7" tableColumnId="10"/>
      <queryTableField id="11" name="IN_8" tableColumnId="11"/>
      <queryTableField id="12" name="IN_9" tableColumnId="12"/>
      <queryTableField id="13" name="IN_10" tableColumnId="13"/>
      <queryTableField id="14" name="IN_11" tableColumnId="14"/>
      <queryTableField id="15" name="IN_12" tableColumnId="15"/>
      <queryTableField id="16" name="IN_13" tableColumnId="16"/>
      <queryTableField id="17" name="IN_14" tableColumnId="17"/>
      <queryTableField id="18" name="IN_15" tableColumnId="18"/>
      <queryTableField id="19" name="IN_16" tableColumnId="1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6BE6642C-9EAE-4911-B4AC-EF3B160747D1}" name="mau_do_toc_300" displayName="mau_do_toc_300" ref="A1:S994" tableType="queryTable" totalsRowShown="0">
  <autoFilter ref="A1:S994" xr:uid="{6BE6642C-9EAE-4911-B4AC-EF3B160747D1}"/>
  <tableColumns count="19">
    <tableColumn id="1" xr3:uid="{C840E21C-1C93-4390-B61A-071DCCCA006C}" uniqueName="1" name="Time" queryTableFieldId="1" dataDxfId="17"/>
    <tableColumn id="2" xr3:uid="{111C5068-16ED-4A5A-A285-5E674FB49A98}" uniqueName="2" name="Hex" queryTableFieldId="2" dataDxfId="16"/>
    <tableColumn id="3" xr3:uid="{7706D323-06E7-46FF-A6EB-347E3D4B14B8}" uniqueName="3" name="Event_No" queryTableFieldId="3"/>
    <tableColumn id="4" xr3:uid="{36A0883A-4F59-4F17-942B-D6DAFE218722}" uniqueName="4" name="IN_1" queryTableFieldId="4"/>
    <tableColumn id="5" xr3:uid="{CB43328E-9B5C-401E-A5C7-D42391D97045}" uniqueName="5" name="IN_2" queryTableFieldId="5"/>
    <tableColumn id="6" xr3:uid="{DE1C9AFE-7092-4BFC-A561-32F848D06C96}" uniqueName="6" name="IN_3" queryTableFieldId="6"/>
    <tableColumn id="7" xr3:uid="{12FC26DD-F680-4415-99CF-399CFB67F45F}" uniqueName="7" name="IN_4" queryTableFieldId="7"/>
    <tableColumn id="8" xr3:uid="{7812D392-B218-4990-A6CA-987C4F5E44A6}" uniqueName="8" name="IN_5" queryTableFieldId="8"/>
    <tableColumn id="9" xr3:uid="{1DE4214A-A194-4339-AF45-FA8B05651454}" uniqueName="9" name="IN_6" queryTableFieldId="9"/>
    <tableColumn id="10" xr3:uid="{80140AD4-D3B4-4223-B176-A0F60E7CC827}" uniqueName="10" name="IN_7" queryTableFieldId="10"/>
    <tableColumn id="11" xr3:uid="{E9756531-AF58-40E0-940E-B39C9B2B67BA}" uniqueName="11" name="IN_8" queryTableFieldId="11"/>
    <tableColumn id="12" xr3:uid="{19A2AE30-A558-4EB7-A50D-A5433A4E8A95}" uniqueName="12" name="IN_9" queryTableFieldId="12"/>
    <tableColumn id="13" xr3:uid="{75F1258C-5890-4A5E-9579-F61BB88F6CFC}" uniqueName="13" name="IN_10" queryTableFieldId="13"/>
    <tableColumn id="14" xr3:uid="{EEDA418A-CC39-48EF-B152-FD0FBA0229C6}" uniqueName="14" name="IN_11" queryTableFieldId="14"/>
    <tableColumn id="15" xr3:uid="{80F899E7-D0FE-4EF5-A83E-6B7B038A29F9}" uniqueName="15" name="IN_12" queryTableFieldId="15"/>
    <tableColumn id="16" xr3:uid="{24032161-3787-4336-85F9-3F4E2472A894}" uniqueName="16" name="IN_13" queryTableFieldId="16"/>
    <tableColumn id="17" xr3:uid="{6F114E32-B7DA-4FC3-AC36-766E353223E4}" uniqueName="17" name="IN_14" queryTableFieldId="17"/>
    <tableColumn id="18" xr3:uid="{58B00C5A-B8D7-486C-BAB0-66CFFF44B38F}" uniqueName="18" name="IN_15" queryTableFieldId="18"/>
    <tableColumn id="19" xr3:uid="{BF0A9FF1-7E61-4A2D-8DFE-6C7203B9BB20}" uniqueName="19" name="IN_16" queryTableFieldId="1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B01A483-87EE-4B62-B401-1E7F33EAF44B}" name="mau_do_toc_200" displayName="mau_do_toc_200" ref="A1:S994" tableType="queryTable" totalsRowShown="0">
  <autoFilter ref="A1:S994" xr:uid="{6B01A483-87EE-4B62-B401-1E7F33EAF44B}"/>
  <tableColumns count="19">
    <tableColumn id="1" xr3:uid="{2D9C9D7E-66E9-4C8B-BC4B-BCC1AF71E934}" uniqueName="1" name="Time" queryTableFieldId="1" dataDxfId="15"/>
    <tableColumn id="2" xr3:uid="{C0C12770-80CB-4FAA-AC21-F857F7D5B49A}" uniqueName="2" name="Hex" queryTableFieldId="2" dataDxfId="14"/>
    <tableColumn id="3" xr3:uid="{8C602655-4033-4FA8-AD76-34BC730C36C3}" uniqueName="3" name="Event_No" queryTableFieldId="3"/>
    <tableColumn id="4" xr3:uid="{F839C941-5291-4E7A-815D-CA0924E48DA0}" uniqueName="4" name="IN_1" queryTableFieldId="4"/>
    <tableColumn id="5" xr3:uid="{7F0C60CD-8A47-4F10-A970-BD1BA945C178}" uniqueName="5" name="IN_2" queryTableFieldId="5"/>
    <tableColumn id="6" xr3:uid="{C73EB329-E46B-4A75-9624-CDFD895663C0}" uniqueName="6" name="IN_3" queryTableFieldId="6"/>
    <tableColumn id="7" xr3:uid="{77CF554C-808B-4E81-ACEB-116A3AB24F40}" uniqueName="7" name="IN_4" queryTableFieldId="7"/>
    <tableColumn id="8" xr3:uid="{050272D2-208D-48F7-B72C-368E76E1E30A}" uniqueName="8" name="IN_5" queryTableFieldId="8"/>
    <tableColumn id="9" xr3:uid="{8F808EDD-00EA-4660-98AC-2E0A845B6F13}" uniqueName="9" name="IN_6" queryTableFieldId="9"/>
    <tableColumn id="10" xr3:uid="{93ECE2A6-3140-4F0E-BEBA-CF68E7DCECEE}" uniqueName="10" name="IN_7" queryTableFieldId="10"/>
    <tableColumn id="11" xr3:uid="{B301D166-7957-4468-B969-C0DED65306E3}" uniqueName="11" name="IN_8" queryTableFieldId="11"/>
    <tableColumn id="12" xr3:uid="{587925B8-8F1C-4A53-9714-C68E79CD24F5}" uniqueName="12" name="IN_9" queryTableFieldId="12"/>
    <tableColumn id="13" xr3:uid="{1A3AFEBE-5CD8-40C2-99CE-96A50FD365FA}" uniqueName="13" name="IN_10" queryTableFieldId="13"/>
    <tableColumn id="14" xr3:uid="{F1081217-EBDA-4D74-BA1A-64D4F2E8717A}" uniqueName="14" name="IN_11" queryTableFieldId="14"/>
    <tableColumn id="15" xr3:uid="{75D9F5C6-B706-4C82-96A9-9999D1B31DD9}" uniqueName="15" name="IN_12" queryTableFieldId="15"/>
    <tableColumn id="16" xr3:uid="{F569CA8B-203B-489B-A8C0-5CA5B79E4B6F}" uniqueName="16" name="IN_13" queryTableFieldId="16"/>
    <tableColumn id="17" xr3:uid="{01964B0E-F350-439E-93B1-46BD94B1279D}" uniqueName="17" name="IN_14" queryTableFieldId="17"/>
    <tableColumn id="18" xr3:uid="{F7B5DD5E-E885-44C0-8842-EBB86EF2F9C3}" uniqueName="18" name="IN_15" queryTableFieldId="18"/>
    <tableColumn id="19" xr3:uid="{FB1358C0-57EB-451E-A16B-8CEE85328DCF}" uniqueName="19" name="IN_16" queryTableFieldId="19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FF43D0-1646-4B84-AE52-58E9ABC184D4}" name="mau_do_toc_100" displayName="mau_do_toc_100" ref="A1:S994" tableType="queryTable" totalsRowShown="0">
  <autoFilter ref="A1:S994" xr:uid="{97FF43D0-1646-4B84-AE52-58E9ABC184D4}"/>
  <tableColumns count="19">
    <tableColumn id="1" xr3:uid="{27E5CF29-AC3B-4A68-ACE4-DA3157161D07}" uniqueName="1" name="Time" queryTableFieldId="1" dataDxfId="13"/>
    <tableColumn id="2" xr3:uid="{AAB32213-8FE8-49F5-91F1-CF89FB7C1D3A}" uniqueName="2" name="Hex" queryTableFieldId="2" dataDxfId="12"/>
    <tableColumn id="3" xr3:uid="{7A5EA087-F3FA-4550-938D-483DA4757B81}" uniqueName="3" name="Event_No" queryTableFieldId="3"/>
    <tableColumn id="4" xr3:uid="{FADA6834-AF8D-4D3E-AE55-2E559F82392B}" uniqueName="4" name="IN_1" queryTableFieldId="4"/>
    <tableColumn id="5" xr3:uid="{CB18518C-6B2E-4ADD-9768-9E3D8CF18838}" uniqueName="5" name="IN_2" queryTableFieldId="5"/>
    <tableColumn id="6" xr3:uid="{FBB7E7D8-F4F4-4D03-B823-094E636CC584}" uniqueName="6" name="IN_3" queryTableFieldId="6"/>
    <tableColumn id="7" xr3:uid="{C471E137-F3B9-4B5F-8911-72D6E140C95C}" uniqueName="7" name="IN_4" queryTableFieldId="7"/>
    <tableColumn id="8" xr3:uid="{0E2D8175-73C4-498B-9CDE-E8F54CCC225C}" uniqueName="8" name="IN_5" queryTableFieldId="8"/>
    <tableColumn id="9" xr3:uid="{E70F7D0D-7B8B-42DF-9E2B-022392334FFD}" uniqueName="9" name="IN_6" queryTableFieldId="9"/>
    <tableColumn id="10" xr3:uid="{9A2EE7CB-AB1A-4F97-9AFF-FDC22BDFFC75}" uniqueName="10" name="IN_7" queryTableFieldId="10"/>
    <tableColumn id="11" xr3:uid="{77FFA609-4B75-4B93-AFBD-34974A0218BE}" uniqueName="11" name="IN_8" queryTableFieldId="11"/>
    <tableColumn id="12" xr3:uid="{AA508D4B-2C60-4F19-95BB-0648FD39E58B}" uniqueName="12" name="IN_9" queryTableFieldId="12"/>
    <tableColumn id="13" xr3:uid="{40C6A802-5891-46AC-B50D-0404CE561EA4}" uniqueName="13" name="IN_10" queryTableFieldId="13"/>
    <tableColumn id="14" xr3:uid="{14A1DBB2-4D14-452B-953C-4A496A713272}" uniqueName="14" name="IN_11" queryTableFieldId="14"/>
    <tableColumn id="15" xr3:uid="{DFC84B02-C3FC-46F1-8B0F-EBB708E7B6E0}" uniqueName="15" name="IN_12" queryTableFieldId="15"/>
    <tableColumn id="16" xr3:uid="{FB3BE72A-06F9-44DE-A1D9-A23FBA7E8570}" uniqueName="16" name="IN_13" queryTableFieldId="16"/>
    <tableColumn id="17" xr3:uid="{DEBBE0C4-9035-49CA-B785-EF731A122C6D}" uniqueName="17" name="IN_14" queryTableFieldId="17"/>
    <tableColumn id="18" xr3:uid="{9DDE9A3E-A599-4560-9184-FFBF3F4B7731}" uniqueName="18" name="IN_15" queryTableFieldId="18"/>
    <tableColumn id="19" xr3:uid="{E0AC2C45-798D-4F8F-BC53-7B0CA5C47192}" uniqueName="19" name="IN_16" queryTableFieldId="19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951539-8D57-48DE-A09C-55F78224DF56}">
  <dimension ref="A1:AF78"/>
  <sheetViews>
    <sheetView topLeftCell="G1" zoomScale="70" zoomScaleNormal="70" workbookViewId="0">
      <selection activeCell="Q15" sqref="Q15"/>
    </sheetView>
  </sheetViews>
  <sheetFormatPr defaultRowHeight="15" x14ac:dyDescent="0.25"/>
  <cols>
    <col min="1" max="1" width="34.28515625" customWidth="1"/>
    <col min="2" max="2" width="17.140625" customWidth="1"/>
    <col min="3" max="3" width="15.28515625" customWidth="1"/>
    <col min="4" max="4" width="17.140625" customWidth="1"/>
    <col min="5" max="5" width="22.85546875" customWidth="1"/>
    <col min="6" max="6" width="5.7109375" customWidth="1"/>
    <col min="7" max="7" width="34.28515625" customWidth="1"/>
    <col min="8" max="8" width="17.140625" customWidth="1"/>
    <col min="9" max="9" width="15.28515625" customWidth="1"/>
    <col min="10" max="10" width="17.140625" customWidth="1"/>
    <col min="11" max="11" width="22.85546875" customWidth="1"/>
    <col min="12" max="12" width="19" customWidth="1"/>
    <col min="13" max="15" width="5.7109375" customWidth="1"/>
    <col min="16" max="16" width="30.42578125" customWidth="1"/>
    <col min="17" max="17" width="26.7109375" customWidth="1"/>
    <col min="18" max="18" width="17.140625" customWidth="1"/>
    <col min="19" max="19" width="21" customWidth="1"/>
    <col min="21" max="21" width="14.140625" bestFit="1" customWidth="1"/>
    <col min="22" max="22" width="8.7109375" bestFit="1" customWidth="1"/>
    <col min="23" max="23" width="8.140625" bestFit="1" customWidth="1"/>
  </cols>
  <sheetData>
    <row r="1" spans="1:32" ht="18.75" x14ac:dyDescent="0.3">
      <c r="A1" s="126" t="s">
        <v>138</v>
      </c>
      <c r="B1" s="114"/>
      <c r="C1" s="114"/>
      <c r="D1" s="114"/>
      <c r="E1" s="114"/>
      <c r="G1" s="127" t="s">
        <v>139</v>
      </c>
      <c r="H1" s="114"/>
      <c r="I1" s="114"/>
      <c r="J1" s="114"/>
      <c r="K1" s="114"/>
      <c r="P1" s="128" t="s">
        <v>54</v>
      </c>
      <c r="Q1" s="129"/>
      <c r="R1" s="129"/>
      <c r="S1" s="130"/>
      <c r="U1" s="41" t="s">
        <v>130</v>
      </c>
      <c r="V1" s="41" t="s">
        <v>131</v>
      </c>
      <c r="W1" s="41" t="s">
        <v>30</v>
      </c>
    </row>
    <row r="2" spans="1:32" x14ac:dyDescent="0.25">
      <c r="P2" s="30"/>
      <c r="S2" s="31"/>
      <c r="U2" s="28" t="s">
        <v>132</v>
      </c>
      <c r="V2" s="27">
        <f ca="1">B6</f>
        <v>0</v>
      </c>
      <c r="W2" s="43">
        <f ca="1">IF(V2+V3=0,0,V2/(V2+V3)*100)</f>
        <v>0</v>
      </c>
    </row>
    <row r="3" spans="1:32" x14ac:dyDescent="0.25">
      <c r="A3" s="121" t="s">
        <v>7</v>
      </c>
      <c r="B3" s="109"/>
      <c r="C3" s="109"/>
      <c r="D3" s="109"/>
      <c r="G3" s="122" t="s">
        <v>7</v>
      </c>
      <c r="H3" s="109"/>
      <c r="I3" s="109"/>
      <c r="J3" s="109"/>
      <c r="P3" s="40" t="s">
        <v>55</v>
      </c>
      <c r="Q3" s="131" t="s">
        <v>161</v>
      </c>
      <c r="R3" s="114"/>
      <c r="S3" s="115"/>
      <c r="U3" s="26" t="s">
        <v>133</v>
      </c>
      <c r="V3" s="32">
        <f ca="1">B5-B6</f>
        <v>994</v>
      </c>
      <c r="W3" s="43">
        <f ca="1">IF(V2+V3=0,0,V3/(V2+V3)*100)</f>
        <v>100</v>
      </c>
    </row>
    <row r="4" spans="1:32" x14ac:dyDescent="0.25">
      <c r="A4" s="34" t="s">
        <v>8</v>
      </c>
      <c r="B4" s="34" t="s">
        <v>23</v>
      </c>
      <c r="C4" s="34" t="s">
        <v>39</v>
      </c>
      <c r="D4" s="34" t="s">
        <v>5</v>
      </c>
      <c r="G4" s="29" t="s">
        <v>8</v>
      </c>
      <c r="H4" s="29" t="s">
        <v>23</v>
      </c>
      <c r="I4" s="29" t="s">
        <v>39</v>
      </c>
      <c r="J4" s="29" t="s">
        <v>5</v>
      </c>
      <c r="P4" s="30"/>
      <c r="S4" s="31"/>
    </row>
    <row r="5" spans="1:32" x14ac:dyDescent="0.25">
      <c r="A5" s="7" t="s">
        <v>11</v>
      </c>
      <c r="B5" s="7">
        <f ca="1">COUNTA(INDIRECT("'"&amp;$Q$3&amp;"'!"&amp;$Q$6&amp;":"&amp;$Q$6))</f>
        <v>994</v>
      </c>
      <c r="C5" s="7" t="s">
        <v>41</v>
      </c>
      <c r="D5" s="7"/>
      <c r="G5" s="7" t="s">
        <v>11</v>
      </c>
      <c r="H5" s="7">
        <f ca="1">COUNTA(INDIRECT("'"&amp;$Q$3&amp;"'!"&amp;$Q$7&amp;":"&amp;$Q$7))</f>
        <v>994</v>
      </c>
      <c r="I5" s="7" t="s">
        <v>41</v>
      </c>
      <c r="J5" s="7"/>
      <c r="P5" s="30" t="s">
        <v>57</v>
      </c>
      <c r="Q5" s="22" t="s">
        <v>58</v>
      </c>
      <c r="S5" s="31"/>
      <c r="U5" s="42" t="s">
        <v>134</v>
      </c>
      <c r="V5" s="42" t="s">
        <v>131</v>
      </c>
      <c r="W5" s="42" t="s">
        <v>30</v>
      </c>
    </row>
    <row r="6" spans="1:32" x14ac:dyDescent="0.25">
      <c r="A6" s="7" t="s">
        <v>106</v>
      </c>
      <c r="B6" s="7" cm="1">
        <f t="array" aca="1" ref="B6" ca="1">SUMPRODUCT((INDIRECT("'"&amp;$Q$3&amp;"'!"&amp;$Q$6&amp;":"&amp;$Q$6)=1)*1)</f>
        <v>0</v>
      </c>
      <c r="C6" s="7" t="s">
        <v>41</v>
      </c>
      <c r="D6" s="7"/>
      <c r="G6" s="7" t="s">
        <v>106</v>
      </c>
      <c r="H6" s="7" cm="1">
        <f t="array" aca="1" ref="H6" ca="1">SUMPRODUCT((INDIRECT("'"&amp;$Q$3&amp;"'!"&amp;$Q$7&amp;":"&amp;$Q$7)=1)*1)</f>
        <v>124</v>
      </c>
      <c r="I6" s="7" t="s">
        <v>41</v>
      </c>
      <c r="J6" s="7"/>
      <c r="P6" s="30" t="s">
        <v>122</v>
      </c>
      <c r="Q6" s="38" t="s">
        <v>104</v>
      </c>
      <c r="S6" s="31"/>
      <c r="U6" s="28" t="s">
        <v>132</v>
      </c>
      <c r="V6" s="27">
        <f ca="1">H6</f>
        <v>124</v>
      </c>
      <c r="W6" s="43">
        <f ca="1">IF(V6+V7=0,0,V6/(V6+V7)*100)</f>
        <v>12.474849094567404</v>
      </c>
    </row>
    <row r="7" spans="1:32" x14ac:dyDescent="0.25">
      <c r="A7" s="7" t="s">
        <v>107</v>
      </c>
      <c r="B7" s="7" cm="1">
        <f t="array" aca="1" ref="B7" ca="1">SUMPRODUCT((INDIRECT("'"&amp;$Q$3&amp;"'!"&amp;$Q$6&amp;":"&amp;$Q$6)=0)*1)</f>
        <v>1048575</v>
      </c>
      <c r="C7" s="7" t="s">
        <v>41</v>
      </c>
      <c r="D7" s="7"/>
      <c r="G7" s="7" t="s">
        <v>107</v>
      </c>
      <c r="H7" s="7" cm="1">
        <f t="array" aca="1" ref="H7" ca="1">SUMPRODUCT((INDIRECT("'"&amp;$Q$3&amp;"'!"&amp;$Q$7&amp;":"&amp;$Q$7)=0)*1)</f>
        <v>1048451</v>
      </c>
      <c r="I7" s="7" t="s">
        <v>41</v>
      </c>
      <c r="J7" s="7"/>
      <c r="P7" s="30" t="s">
        <v>59</v>
      </c>
      <c r="Q7" s="39" t="s">
        <v>60</v>
      </c>
      <c r="S7" s="31"/>
      <c r="U7" s="26" t="s">
        <v>133</v>
      </c>
      <c r="V7" s="32">
        <f ca="1">H5-H6</f>
        <v>870</v>
      </c>
      <c r="W7" s="43">
        <f ca="1">IF(V6+V7=0,0,V7/(V6+V7)*100)</f>
        <v>87.525150905432596</v>
      </c>
    </row>
    <row r="8" spans="1:32" x14ac:dyDescent="0.25">
      <c r="A8" s="7" t="s">
        <v>14</v>
      </c>
      <c r="B8" s="7">
        <f ca="1">IFERROR(B6/B5*100,0)</f>
        <v>0</v>
      </c>
      <c r="C8" s="7" t="s">
        <v>30</v>
      </c>
      <c r="D8" s="7"/>
      <c r="G8" s="7" t="s">
        <v>14</v>
      </c>
      <c r="H8" s="7">
        <f ca="1">IFERROR(H6/H5*100,0)</f>
        <v>12.474849094567404</v>
      </c>
      <c r="I8" s="7" t="s">
        <v>30</v>
      </c>
      <c r="J8" s="7"/>
      <c r="P8" s="30"/>
      <c r="S8" s="31"/>
    </row>
    <row r="9" spans="1:32" ht="18.75" x14ac:dyDescent="0.3">
      <c r="A9" s="7" t="s">
        <v>15</v>
      </c>
      <c r="B9" s="7" cm="1">
        <f t="array" aca="1" ref="B9" ca="1">SUMPRODUCT((INDIRECT("'"&amp;$Q$3&amp;"'!"&amp;$Q$6&amp;"2:"&amp;$Q$6&amp;"10000")=1)*(INDIRECT("'"&amp;$Q$3&amp;"'!"&amp;$Q$6&amp;"1:"&amp;$Q$6&amp;"9999")=0)*1)</f>
        <v>0</v>
      </c>
      <c r="C9" s="7" t="s">
        <v>42</v>
      </c>
      <c r="D9" s="7" t="s">
        <v>108</v>
      </c>
      <c r="G9" s="7" t="s">
        <v>15</v>
      </c>
      <c r="H9" s="7" cm="1">
        <f t="array" aca="1" ref="H9" ca="1">SUMPRODUCT((INDIRECT("'"&amp;$Q$3&amp;"'!"&amp;$Q$7&amp;"2:"&amp;$Q$7&amp;"10000")=1)*(INDIRECT("'"&amp;$Q$3&amp;"'!"&amp;$Q$7&amp;"1:"&amp;$Q$7&amp;"9999")=0)*1)</f>
        <v>50</v>
      </c>
      <c r="I9" s="7" t="s">
        <v>42</v>
      </c>
      <c r="J9" s="7" t="s">
        <v>108</v>
      </c>
      <c r="P9" s="119" t="s">
        <v>61</v>
      </c>
      <c r="Q9" s="114"/>
      <c r="R9" s="114"/>
      <c r="S9" s="115"/>
      <c r="U9" s="120" t="s">
        <v>135</v>
      </c>
      <c r="V9" s="120"/>
      <c r="W9" s="120"/>
      <c r="X9" s="120"/>
      <c r="Y9" s="120"/>
      <c r="Z9" s="120"/>
      <c r="AA9" s="120"/>
      <c r="AB9" s="120"/>
      <c r="AC9" s="120"/>
      <c r="AD9" s="120"/>
      <c r="AE9" s="120"/>
      <c r="AF9" s="120"/>
    </row>
    <row r="10" spans="1:32" x14ac:dyDescent="0.25">
      <c r="A10" s="7" t="s">
        <v>16</v>
      </c>
      <c r="B10" s="7" cm="1">
        <f t="array" aca="1" ref="B10" ca="1">SUMPRODUCT((INDIRECT("'"&amp;$Q$3&amp;"'!"&amp;$Q$6&amp;"2:"&amp;$Q$6&amp;"10000")=0)*(INDIRECT("'"&amp;$Q$3&amp;"'!"&amp;$Q$6&amp;"1:"&amp;$Q$6&amp;"9999")=1)*1)</f>
        <v>0</v>
      </c>
      <c r="C10" s="7" t="s">
        <v>42</v>
      </c>
      <c r="D10" s="7" t="s">
        <v>109</v>
      </c>
      <c r="G10" s="7" t="s">
        <v>16</v>
      </c>
      <c r="H10" s="7" cm="1">
        <f t="array" aca="1" ref="H10" ca="1">SUMPRODUCT((INDIRECT("'"&amp;$Q$3&amp;"'!"&amp;$Q$7&amp;"2:"&amp;$Q$7&amp;"10000")=0)*(INDIRECT("'"&amp;$Q$3&amp;"'!"&amp;$Q$7&amp;"1:"&amp;$Q$7&amp;"9999")=1)*1)</f>
        <v>50</v>
      </c>
      <c r="I10" s="7" t="s">
        <v>42</v>
      </c>
      <c r="J10" s="7" t="s">
        <v>109</v>
      </c>
      <c r="P10" s="113"/>
      <c r="Q10" s="114"/>
      <c r="R10" s="114"/>
      <c r="S10" s="115"/>
    </row>
    <row r="11" spans="1:32" x14ac:dyDescent="0.25">
      <c r="A11" s="7" t="s">
        <v>17</v>
      </c>
      <c r="B11" s="7">
        <f ca="1">B9+B10</f>
        <v>0</v>
      </c>
      <c r="C11" s="7" t="s">
        <v>42</v>
      </c>
      <c r="D11" s="7"/>
      <c r="G11" s="7" t="s">
        <v>17</v>
      </c>
      <c r="H11" s="7">
        <f ca="1">H9+H10</f>
        <v>100</v>
      </c>
      <c r="I11" s="7" t="s">
        <v>42</v>
      </c>
      <c r="J11" s="7"/>
      <c r="P11" s="30"/>
      <c r="S11" s="31"/>
    </row>
    <row r="12" spans="1:32" x14ac:dyDescent="0.25">
      <c r="A12" s="7" t="s">
        <v>21</v>
      </c>
      <c r="B12" s="7">
        <f ca="1">$Q$15</f>
        <v>10.003000000006779</v>
      </c>
      <c r="C12" s="7" t="s">
        <v>43</v>
      </c>
      <c r="D12" s="7"/>
      <c r="G12" s="7" t="s">
        <v>21</v>
      </c>
      <c r="H12" s="7">
        <f ca="1">$Q$15</f>
        <v>10.003000000006779</v>
      </c>
      <c r="I12" s="7" t="s">
        <v>43</v>
      </c>
      <c r="J12" s="7"/>
      <c r="P12" s="30" t="s">
        <v>66</v>
      </c>
      <c r="Q12">
        <f ca="1">IFERROR($Q$15/($Q$13-1),0.009802419)</f>
        <v>1.0073514602222335E-2</v>
      </c>
      <c r="S12" s="31"/>
    </row>
    <row r="13" spans="1:32" x14ac:dyDescent="0.25">
      <c r="P13" s="30" t="s">
        <v>75</v>
      </c>
      <c r="Q13">
        <f ca="1">COUNTA(INDIRECT("'"&amp;$Q$3&amp;"'!"&amp;$Q$5&amp;":"&amp;$Q$5))</f>
        <v>994</v>
      </c>
      <c r="S13" s="31"/>
    </row>
    <row r="14" spans="1:32" x14ac:dyDescent="0.25">
      <c r="A14" s="121" t="s">
        <v>137</v>
      </c>
      <c r="B14" s="109"/>
      <c r="C14" s="109"/>
      <c r="D14" s="109"/>
      <c r="E14" s="109"/>
      <c r="G14" s="122" t="s">
        <v>140</v>
      </c>
      <c r="H14" s="109"/>
      <c r="I14" s="109"/>
      <c r="J14" s="109"/>
      <c r="K14" s="109"/>
      <c r="P14" s="30" t="s">
        <v>76</v>
      </c>
      <c r="Q14">
        <f ca="1">IFERROR(1/$Q$12,0)</f>
        <v>99.270218934252426</v>
      </c>
      <c r="S14" s="31"/>
    </row>
    <row r="15" spans="1:32" x14ac:dyDescent="0.25">
      <c r="A15" s="34" t="s">
        <v>8</v>
      </c>
      <c r="B15" s="34" t="s">
        <v>63</v>
      </c>
      <c r="C15" s="34" t="s">
        <v>64</v>
      </c>
      <c r="D15" s="34" t="s">
        <v>65</v>
      </c>
      <c r="E15" s="34" t="s">
        <v>5</v>
      </c>
      <c r="G15" s="29" t="s">
        <v>8</v>
      </c>
      <c r="H15" s="29" t="s">
        <v>63</v>
      </c>
      <c r="I15" s="29" t="s">
        <v>64</v>
      </c>
      <c r="J15" s="29" t="s">
        <v>65</v>
      </c>
      <c r="K15" s="29" t="s">
        <v>5</v>
      </c>
      <c r="P15" s="26" t="s">
        <v>105</v>
      </c>
      <c r="Q15" s="25" cm="1">
        <f t="array" aca="1" ref="Q15" ca="1">IFERROR((INDIRECT("'"&amp;$Q$3&amp;"'!A"&amp;$Q$13)-INDIRECT("'"&amp;$Q$3&amp;"'!A2"))*86400,0)</f>
        <v>10.003000000006779</v>
      </c>
      <c r="R15" s="25"/>
      <c r="S15" s="32"/>
    </row>
    <row r="16" spans="1:32" x14ac:dyDescent="0.25">
      <c r="A16" s="7" t="s">
        <v>110</v>
      </c>
      <c r="B16" s="7">
        <f ca="1">IFERROR(#REF!*$Q$12*1000000,0)</f>
        <v>0</v>
      </c>
      <c r="C16" s="7">
        <f ca="1">B16/1000</f>
        <v>0</v>
      </c>
      <c r="D16" s="7">
        <f ca="1">C16/1000</f>
        <v>0</v>
      </c>
      <c r="E16" s="7" t="s">
        <v>113</v>
      </c>
      <c r="G16" s="7" t="s">
        <v>110</v>
      </c>
      <c r="H16" s="7">
        <f ca="1">IFERROR(#REF!*$Q$12*1000000,0)</f>
        <v>0</v>
      </c>
      <c r="I16" s="7">
        <f ca="1">H16/1000</f>
        <v>0</v>
      </c>
      <c r="J16" s="7">
        <f ca="1">I16/1000</f>
        <v>0</v>
      </c>
      <c r="K16" s="7" t="s">
        <v>113</v>
      </c>
    </row>
    <row r="17" spans="1:19" x14ac:dyDescent="0.25">
      <c r="A17" s="7" t="s">
        <v>111</v>
      </c>
      <c r="B17" s="7">
        <f ca="1">IFERROR((B7/B10)*$Q$12*1000000,0)</f>
        <v>0</v>
      </c>
      <c r="C17" s="7">
        <f ca="1">B17/1000</f>
        <v>0</v>
      </c>
      <c r="D17" s="7">
        <f ca="1">C17/1000</f>
        <v>0</v>
      </c>
      <c r="E17" s="7" t="s">
        <v>114</v>
      </c>
      <c r="G17" s="7" t="s">
        <v>111</v>
      </c>
      <c r="H17" s="7">
        <f ca="1">IFERROR((H7/H10)*$Q$12*1000000,0)</f>
        <v>211231729.16429219</v>
      </c>
      <c r="I17" s="7">
        <f ca="1">H17/1000</f>
        <v>211231.72916429219</v>
      </c>
      <c r="J17" s="7">
        <f ca="1">I17/1000</f>
        <v>211.2317291642922</v>
      </c>
      <c r="K17" s="7" t="s">
        <v>114</v>
      </c>
    </row>
    <row r="18" spans="1:19" x14ac:dyDescent="0.25">
      <c r="A18" s="7" t="s">
        <v>112</v>
      </c>
      <c r="B18" s="7">
        <f ca="1">B16+B17</f>
        <v>0</v>
      </c>
      <c r="C18" s="7">
        <f ca="1">C16+C17</f>
        <v>0</v>
      </c>
      <c r="D18" s="7">
        <f ca="1">D16+D17</f>
        <v>0</v>
      </c>
      <c r="E18" s="7" t="s">
        <v>103</v>
      </c>
      <c r="G18" s="7" t="s">
        <v>112</v>
      </c>
      <c r="H18" s="7">
        <f ca="1">H16+H17</f>
        <v>211231729.16429219</v>
      </c>
      <c r="I18" s="7">
        <f ca="1">I16+I17</f>
        <v>211231.72916429219</v>
      </c>
      <c r="J18" s="7">
        <f ca="1">J16+J17</f>
        <v>211.2317291642922</v>
      </c>
      <c r="K18" s="7" t="s">
        <v>103</v>
      </c>
      <c r="P18" s="123" t="s">
        <v>77</v>
      </c>
      <c r="Q18" s="109"/>
      <c r="R18" s="109"/>
      <c r="S18" s="109"/>
    </row>
    <row r="19" spans="1:19" x14ac:dyDescent="0.25">
      <c r="A19" s="7" t="s">
        <v>48</v>
      </c>
      <c r="B19" s="7">
        <f ca="1">$Q$12*1000000</f>
        <v>10073.514602222334</v>
      </c>
      <c r="C19" s="7">
        <f ca="1">B19/1000</f>
        <v>10.073514602222334</v>
      </c>
      <c r="D19" s="7">
        <f ca="1">C19/1000</f>
        <v>1.0073514602222333E-2</v>
      </c>
      <c r="E19" s="7" t="s">
        <v>70</v>
      </c>
      <c r="G19" s="7" t="s">
        <v>48</v>
      </c>
      <c r="H19" s="7">
        <f ca="1">$Q$12*1000000</f>
        <v>10073.514602222334</v>
      </c>
      <c r="I19" s="7">
        <f ca="1">H19/1000</f>
        <v>10.073514602222334</v>
      </c>
      <c r="J19" s="7">
        <f ca="1">I19/1000</f>
        <v>1.0073514602222333E-2</v>
      </c>
      <c r="K19" s="7" t="s">
        <v>70</v>
      </c>
      <c r="P19" s="34" t="s">
        <v>39</v>
      </c>
      <c r="Q19" s="34" t="s">
        <v>78</v>
      </c>
      <c r="R19" s="34" t="s">
        <v>79</v>
      </c>
      <c r="S19" s="34" t="s">
        <v>9</v>
      </c>
    </row>
    <row r="20" spans="1:19" x14ac:dyDescent="0.25">
      <c r="A20" s="7" t="s">
        <v>49</v>
      </c>
      <c r="B20" s="7">
        <f ca="1">B16*2</f>
        <v>0</v>
      </c>
      <c r="C20" s="7">
        <f ca="1">B20/1000</f>
        <v>0</v>
      </c>
      <c r="D20" s="7">
        <f ca="1">C20/1000</f>
        <v>0</v>
      </c>
      <c r="E20" s="7" t="s">
        <v>71</v>
      </c>
      <c r="G20" s="7" t="s">
        <v>49</v>
      </c>
      <c r="H20" s="7">
        <f ca="1">H16*2</f>
        <v>0</v>
      </c>
      <c r="I20" s="7">
        <f ca="1">H20/1000</f>
        <v>0</v>
      </c>
      <c r="J20" s="7">
        <f ca="1">I20/1000</f>
        <v>0</v>
      </c>
      <c r="K20" s="7" t="s">
        <v>71</v>
      </c>
      <c r="P20" s="7" t="s">
        <v>80</v>
      </c>
      <c r="Q20" s="7" t="s">
        <v>81</v>
      </c>
      <c r="R20" s="7" t="s">
        <v>82</v>
      </c>
      <c r="S20" s="7" t="s">
        <v>83</v>
      </c>
    </row>
    <row r="21" spans="1:19" x14ac:dyDescent="0.25">
      <c r="P21" s="7" t="s">
        <v>84</v>
      </c>
      <c r="Q21" s="7" t="s">
        <v>81</v>
      </c>
      <c r="R21" s="7" t="s">
        <v>85</v>
      </c>
      <c r="S21" s="7" t="s">
        <v>86</v>
      </c>
    </row>
    <row r="22" spans="1:19" x14ac:dyDescent="0.25">
      <c r="P22" s="7" t="s">
        <v>87</v>
      </c>
      <c r="Q22" s="7" t="s">
        <v>88</v>
      </c>
      <c r="R22" s="7" t="s">
        <v>82</v>
      </c>
      <c r="S22" s="7" t="s">
        <v>89</v>
      </c>
    </row>
    <row r="23" spans="1:19" x14ac:dyDescent="0.25">
      <c r="P23" s="7" t="s">
        <v>90</v>
      </c>
      <c r="Q23" s="7" t="s">
        <v>91</v>
      </c>
      <c r="R23" s="7" t="s">
        <v>92</v>
      </c>
      <c r="S23" s="7" t="s">
        <v>93</v>
      </c>
    </row>
    <row r="24" spans="1:19" ht="15.75" x14ac:dyDescent="0.25">
      <c r="A24" s="124" t="s">
        <v>136</v>
      </c>
      <c r="B24" s="109"/>
      <c r="C24" s="109"/>
      <c r="D24" s="109"/>
      <c r="G24" s="125" t="s">
        <v>141</v>
      </c>
      <c r="H24" s="109"/>
      <c r="I24" s="109"/>
      <c r="J24" s="109"/>
      <c r="K24" s="109"/>
      <c r="L24" s="7"/>
      <c r="P24" s="7" t="s">
        <v>94</v>
      </c>
      <c r="Q24" s="7" t="s">
        <v>91</v>
      </c>
      <c r="R24" s="7" t="s">
        <v>85</v>
      </c>
      <c r="S24" s="7" t="s">
        <v>95</v>
      </c>
    </row>
    <row r="25" spans="1:19" x14ac:dyDescent="0.25">
      <c r="A25" s="9" t="s">
        <v>8</v>
      </c>
      <c r="B25" s="9" t="s">
        <v>23</v>
      </c>
      <c r="C25" s="9" t="s">
        <v>39</v>
      </c>
      <c r="D25" s="9" t="s">
        <v>5</v>
      </c>
      <c r="G25" s="37" t="s">
        <v>8</v>
      </c>
      <c r="H25" s="37" t="s">
        <v>115</v>
      </c>
      <c r="I25" s="37" t="s">
        <v>116</v>
      </c>
      <c r="J25" s="37" t="s">
        <v>117</v>
      </c>
      <c r="K25" s="37" t="s">
        <v>39</v>
      </c>
      <c r="L25" s="37" t="s">
        <v>118</v>
      </c>
      <c r="P25" s="7" t="s">
        <v>96</v>
      </c>
      <c r="Q25" s="7" t="s">
        <v>97</v>
      </c>
      <c r="R25" s="7" t="s">
        <v>92</v>
      </c>
      <c r="S25" s="7" t="s">
        <v>98</v>
      </c>
    </row>
    <row r="26" spans="1:19" x14ac:dyDescent="0.25">
      <c r="A26" s="7" t="s">
        <v>24</v>
      </c>
      <c r="B26" s="36">
        <v>100</v>
      </c>
      <c r="C26" s="7" t="s">
        <v>44</v>
      </c>
      <c r="D26" s="7" t="s">
        <v>123</v>
      </c>
      <c r="G26" s="7" t="s">
        <v>119</v>
      </c>
      <c r="H26" s="7">
        <f ca="1">B6</f>
        <v>0</v>
      </c>
      <c r="I26" s="7">
        <f ca="1">H6</f>
        <v>124</v>
      </c>
      <c r="J26" s="7">
        <f ca="1">ABS(I26-H26)</f>
        <v>124</v>
      </c>
      <c r="K26" s="7" t="s">
        <v>41</v>
      </c>
      <c r="L26" s="7" t="str">
        <f ca="1">IF(I26&gt;H26,"IN_2 &gt; IN_1",IF(H26&gt;I26,"IN_1 &gt; IN_2","Bằng nhau"))</f>
        <v>IN_2 &gt; IN_1</v>
      </c>
    </row>
    <row r="27" spans="1:19" x14ac:dyDescent="0.25">
      <c r="A27" s="7" t="s">
        <v>25</v>
      </c>
      <c r="B27" s="36">
        <v>6</v>
      </c>
      <c r="C27" s="7" t="s">
        <v>26</v>
      </c>
      <c r="D27" s="7" t="s">
        <v>123</v>
      </c>
      <c r="G27" s="7" t="s">
        <v>14</v>
      </c>
      <c r="H27" s="7">
        <f ca="1">B8</f>
        <v>0</v>
      </c>
      <c r="I27" s="7">
        <f ca="1">H8</f>
        <v>12.474849094567404</v>
      </c>
      <c r="J27" s="7">
        <f ca="1">ABS(I27-H27)</f>
        <v>12.474849094567404</v>
      </c>
      <c r="K27" s="7" t="s">
        <v>30</v>
      </c>
      <c r="L27" s="7" t="str">
        <f ca="1">IF(I27&gt;H27,"IN_2 &gt; IN_1",IF(H27&gt;I27,"IN_1 &gt; IN_2","Bằng nhau"))</f>
        <v>IN_2 &gt; IN_1</v>
      </c>
    </row>
    <row r="28" spans="1:19" x14ac:dyDescent="0.25">
      <c r="A28" s="7" t="s">
        <v>34</v>
      </c>
      <c r="B28" s="36">
        <v>1</v>
      </c>
      <c r="C28" s="7" t="s">
        <v>26</v>
      </c>
      <c r="D28" s="7" t="s">
        <v>123</v>
      </c>
      <c r="G28" s="7" t="s">
        <v>120</v>
      </c>
      <c r="H28" s="7">
        <f ca="1">B9</f>
        <v>0</v>
      </c>
      <c r="I28" s="7">
        <f ca="1">H9</f>
        <v>50</v>
      </c>
      <c r="J28" s="7">
        <f ca="1">ABS(I28-H28)</f>
        <v>50</v>
      </c>
      <c r="K28" s="7" t="s">
        <v>42</v>
      </c>
      <c r="L28" s="7" t="str">
        <f ca="1">IF(I28&gt;H28,"IN_2 &gt; IN_1",IF(H28&gt;I28,"IN_1 &gt; IN_2","Bằng nhau"))</f>
        <v>IN_2 &gt; IN_1</v>
      </c>
      <c r="P28" s="110" t="s">
        <v>99</v>
      </c>
      <c r="Q28" s="111"/>
      <c r="R28" s="111"/>
      <c r="S28" s="112"/>
    </row>
    <row r="29" spans="1:19" x14ac:dyDescent="0.25">
      <c r="A29" s="7" t="s">
        <v>31</v>
      </c>
      <c r="B29" s="7">
        <f ca="1">$Q$15</f>
        <v>10.003000000006779</v>
      </c>
      <c r="C29" s="7" t="s">
        <v>43</v>
      </c>
      <c r="D29" s="7"/>
      <c r="G29" s="7" t="s">
        <v>121</v>
      </c>
      <c r="H29" s="7">
        <f ca="1">C16</f>
        <v>0</v>
      </c>
      <c r="I29" s="7">
        <f ca="1">I16</f>
        <v>0</v>
      </c>
      <c r="J29" s="7">
        <f ca="1">ABS(I29-H29)</f>
        <v>0</v>
      </c>
      <c r="K29" s="7" t="s">
        <v>40</v>
      </c>
      <c r="L29" s="7" t="str">
        <f ca="1">IF(I29&gt;H29,"IN_2 &gt; IN_1",IF(H29&gt;I29,"IN_1 &gt; IN_2","Bằng nhau"))</f>
        <v>Bằng nhau</v>
      </c>
      <c r="P29" s="113" t="s">
        <v>125</v>
      </c>
      <c r="Q29" s="114"/>
      <c r="R29" s="114"/>
      <c r="S29" s="115"/>
    </row>
    <row r="30" spans="1:19" x14ac:dyDescent="0.25">
      <c r="A30" s="7" t="s">
        <v>27</v>
      </c>
      <c r="B30" s="7">
        <f ca="1">(B26/60)*B29</f>
        <v>16.671666666677964</v>
      </c>
      <c r="C30" s="7" t="s">
        <v>45</v>
      </c>
      <c r="D30" s="7"/>
      <c r="G30" s="7"/>
      <c r="H30" s="7"/>
      <c r="I30" s="7"/>
      <c r="J30" s="7"/>
      <c r="K30" s="7"/>
      <c r="L30" s="7"/>
      <c r="P30" s="113" t="s">
        <v>126</v>
      </c>
      <c r="Q30" s="114"/>
      <c r="R30" s="114"/>
      <c r="S30" s="115"/>
    </row>
    <row r="31" spans="1:19" x14ac:dyDescent="0.25">
      <c r="A31" s="7" t="s">
        <v>124</v>
      </c>
      <c r="B31" s="7">
        <f ca="1">ROUNDDOWN(B30*B27,0)</f>
        <v>100</v>
      </c>
      <c r="C31" s="7" t="s">
        <v>46</v>
      </c>
      <c r="D31" s="7"/>
      <c r="G31" s="13" t="s">
        <v>144</v>
      </c>
      <c r="H31" s="7">
        <f ca="1">IFERROR(MIN(B9,B32)/MAX(B9,B32)*100,0)</f>
        <v>0</v>
      </c>
      <c r="I31" s="7">
        <f ca="1">IFERROR(MIN(H9,B32)/MAX(H9,B32)*100,0)</f>
        <v>32</v>
      </c>
      <c r="J31" s="7"/>
      <c r="K31" s="7" t="s">
        <v>30</v>
      </c>
      <c r="L31" s="7"/>
      <c r="P31" s="113" t="s">
        <v>127</v>
      </c>
      <c r="Q31" s="114"/>
      <c r="R31" s="114"/>
      <c r="S31" s="115"/>
    </row>
    <row r="32" spans="1:19" x14ac:dyDescent="0.25">
      <c r="A32" s="7" t="s">
        <v>38</v>
      </c>
      <c r="B32" s="7">
        <f ca="1">ROUNDDOWN(B30*B28,0)</f>
        <v>16</v>
      </c>
      <c r="C32" s="7" t="s">
        <v>33</v>
      </c>
      <c r="D32" s="7"/>
      <c r="P32" s="113" t="s">
        <v>128</v>
      </c>
      <c r="Q32" s="114"/>
      <c r="R32" s="114"/>
      <c r="S32" s="115"/>
    </row>
    <row r="33" spans="1:19" x14ac:dyDescent="0.25">
      <c r="P33" s="116" t="s">
        <v>129</v>
      </c>
      <c r="Q33" s="117"/>
      <c r="R33" s="117"/>
      <c r="S33" s="118"/>
    </row>
    <row r="35" spans="1:19" ht="15.75" x14ac:dyDescent="0.25">
      <c r="A35" s="107" t="s">
        <v>142</v>
      </c>
      <c r="B35" s="107"/>
      <c r="C35" s="107"/>
      <c r="D35" s="107"/>
      <c r="E35" s="107"/>
      <c r="G35" s="108" t="s">
        <v>143</v>
      </c>
      <c r="H35" s="109"/>
      <c r="I35" s="109"/>
      <c r="J35" s="109"/>
      <c r="K35" s="109"/>
    </row>
    <row r="36" spans="1:19" x14ac:dyDescent="0.25">
      <c r="A36" s="33" t="s">
        <v>3</v>
      </c>
      <c r="B36" s="33" t="s">
        <v>0</v>
      </c>
      <c r="C36" s="33" t="s">
        <v>4</v>
      </c>
      <c r="D36" s="33" t="s">
        <v>20</v>
      </c>
      <c r="E36" s="33" t="s">
        <v>53</v>
      </c>
      <c r="G36" s="35" t="s">
        <v>3</v>
      </c>
      <c r="H36" s="35" t="s">
        <v>0</v>
      </c>
      <c r="I36" s="35" t="s">
        <v>4</v>
      </c>
      <c r="J36" s="35" t="s">
        <v>20</v>
      </c>
      <c r="K36" s="35" t="s">
        <v>53</v>
      </c>
    </row>
    <row r="37" spans="1:19" x14ac:dyDescent="0.25">
      <c r="A37" s="7">
        <v>1</v>
      </c>
      <c r="B37" s="7" cm="1">
        <f t="array" aca="1" ref="B37" ca="1">IFERROR(_xlfn.AGGREGATE(15,6,ROW(INDIRECT("'"&amp;$Q$3&amp;"'!"&amp;$Q$6&amp;"2:"&amp;$Q$6&amp;"1000"))/(INDIRECT("'"&amp;$Q$3&amp;"'!"&amp;$Q$6&amp;"2:"&amp;$Q$6&amp;"1000")&lt;&gt;INDIRECT("'"&amp;$Q$3&amp;"'!"&amp;$Q$6&amp;"1:"&amp;$Q$6&amp;"999")),1),"")</f>
        <v>2</v>
      </c>
      <c r="C37" s="7" t="str" cm="1">
        <f t="array" aca="1" ref="C37" ca="1">IF(B37="","",IF(INDIRECT("'"&amp;$Q$3&amp;"'!"&amp;$Q$6&amp;B37)=1,"ON","OFF"))</f>
        <v>OFF</v>
      </c>
      <c r="D37" s="7" t="e" cm="1">
        <f t="array" aca="1" ref="D37" ca="1">IF(B37="","",(INDIRECT("'"&amp;$Q$3&amp;"'!A"&amp;B37)-INDIRECT("'"&amp;$Q$3&amp;"'!A1"))*86400)</f>
        <v>#VALUE!</v>
      </c>
      <c r="E37" s="7" t="str">
        <f t="shared" ref="E37:E76" ca="1" si="0">IF(OR(B37="",B38=""),"",(D38-D37)*1000)</f>
        <v/>
      </c>
      <c r="G37" s="7">
        <v>1</v>
      </c>
      <c r="H37" s="7" cm="1">
        <f t="array" aca="1" ref="H37" ca="1">IFERROR(_xlfn.AGGREGATE(15,6,ROW(INDIRECT("'"&amp;$Q$3&amp;"'!"&amp;$Q$7&amp;"2:"&amp;$Q$7&amp;"1000"))/(INDIRECT("'"&amp;$Q$3&amp;"'!"&amp;$Q$7&amp;"2:"&amp;$Q$7&amp;"1000")&lt;&gt;INDIRECT("'"&amp;$Q$3&amp;"'!"&amp;$Q$7&amp;"1:"&amp;$Q$7&amp;"999")),1),"")</f>
        <v>2</v>
      </c>
      <c r="I37" s="7" t="str" cm="1">
        <f t="array" aca="1" ref="I37" ca="1">IF(H37="","",IF(INDIRECT("'"&amp;$Q$3&amp;"'!"&amp;$Q$7&amp;H37)=1,"ON","OFF"))</f>
        <v>OFF</v>
      </c>
      <c r="J37" s="7" t="e" cm="1">
        <f t="array" aca="1" ref="J37" ca="1">IF(H37="","",(INDIRECT("'"&amp;$Q$3&amp;"'!A"&amp;H37)-INDIRECT("'"&amp;$Q$3&amp;"'!A1"))*86400)</f>
        <v>#VALUE!</v>
      </c>
      <c r="K37" s="7" t="e">
        <f t="shared" ref="K37:K76" ca="1" si="1">IF(OR(H37="",H38=""),"",(J38-J37)*1000)</f>
        <v>#VALUE!</v>
      </c>
    </row>
    <row r="38" spans="1:19" x14ac:dyDescent="0.25">
      <c r="A38" s="7">
        <v>2</v>
      </c>
      <c r="B38" s="7" t="str" cm="1">
        <f t="array" aca="1" ref="B38" ca="1">IFERROR(_xlfn.AGGREGATE(15,6,ROW(INDIRECT("'"&amp;$Q$3&amp;"'!"&amp;$Q$6&amp;"2:"&amp;$Q$6&amp;"1000"))/(INDIRECT("'"&amp;$Q$3&amp;"'!"&amp;$Q$6&amp;"2:"&amp;$Q$6&amp;"1000")&lt;&gt;INDIRECT("'"&amp;$Q$3&amp;"'!"&amp;$Q$6&amp;"1:"&amp;$Q$6&amp;"999")),2),"")</f>
        <v/>
      </c>
      <c r="C38" s="7" t="str" cm="1">
        <f t="array" aca="1" ref="C38" ca="1">IF(B38="","",IF(INDIRECT("'"&amp;$Q$3&amp;"'!"&amp;$Q$6&amp;B38)=1,"ON","OFF"))</f>
        <v/>
      </c>
      <c r="D38" s="7" t="str" cm="1">
        <f t="array" aca="1" ref="D38" ca="1">IF(B38="","",(INDIRECT("'"&amp;$Q$3&amp;"'!A"&amp;B38)-INDIRECT("'"&amp;$Q$3&amp;"'!A1"))*86400)</f>
        <v/>
      </c>
      <c r="E38" s="7" t="str">
        <f t="shared" ca="1" si="0"/>
        <v/>
      </c>
      <c r="G38" s="7">
        <v>2</v>
      </c>
      <c r="H38" s="7" cm="1">
        <f t="array" aca="1" ref="H38" ca="1">IFERROR(_xlfn.AGGREGATE(15,6,ROW(INDIRECT("'"&amp;$Q$3&amp;"'!"&amp;$Q$7&amp;"2:"&amp;$Q$7&amp;"1000"))/(INDIRECT("'"&amp;$Q$3&amp;"'!"&amp;$Q$7&amp;"2:"&amp;$Q$7&amp;"1000")&lt;&gt;INDIRECT("'"&amp;$Q$3&amp;"'!"&amp;$Q$7&amp;"1:"&amp;$Q$7&amp;"999")),2),"")</f>
        <v>7</v>
      </c>
      <c r="I38" s="7" t="str" cm="1">
        <f t="array" aca="1" ref="I38" ca="1">IF(H38="","",IF(INDIRECT("'"&amp;$Q$3&amp;"'!"&amp;$Q$7&amp;H38)=1,"ON","OFF"))</f>
        <v>ON</v>
      </c>
      <c r="J38" s="7" t="e" cm="1">
        <f t="array" aca="1" ref="J38" ca="1">IF(H38="","",(INDIRECT("'"&amp;$Q$3&amp;"'!A"&amp;H38)-INDIRECT("'"&amp;$Q$3&amp;"'!A1"))*86400)</f>
        <v>#VALUE!</v>
      </c>
      <c r="K38" s="7" t="e">
        <f t="shared" ca="1" si="1"/>
        <v>#VALUE!</v>
      </c>
    </row>
    <row r="39" spans="1:19" x14ac:dyDescent="0.25">
      <c r="A39" s="7">
        <v>3</v>
      </c>
      <c r="B39" s="7" t="str" cm="1">
        <f t="array" aca="1" ref="B39" ca="1">IFERROR(_xlfn.AGGREGATE(15,6,ROW(INDIRECT("'"&amp;$Q$3&amp;"'!"&amp;$Q$6&amp;"2:"&amp;$Q$6&amp;"1000"))/(INDIRECT("'"&amp;$Q$3&amp;"'!"&amp;$Q$6&amp;"2:"&amp;$Q$6&amp;"1000")&lt;&gt;INDIRECT("'"&amp;$Q$3&amp;"'!"&amp;$Q$6&amp;"1:"&amp;$Q$6&amp;"999")),3),"")</f>
        <v/>
      </c>
      <c r="C39" s="7" t="str" cm="1">
        <f t="array" aca="1" ref="C39" ca="1">IF(B39="","",IF(INDIRECT("'"&amp;$Q$3&amp;"'!"&amp;$Q$6&amp;B39)=1,"ON","OFF"))</f>
        <v/>
      </c>
      <c r="D39" s="7" t="str" cm="1">
        <f t="array" aca="1" ref="D39" ca="1">IF(B39="","",(INDIRECT("'"&amp;$Q$3&amp;"'!A"&amp;B39)-INDIRECT("'"&amp;$Q$3&amp;"'!A1"))*86400)</f>
        <v/>
      </c>
      <c r="E39" s="7" t="str">
        <f t="shared" ca="1" si="0"/>
        <v/>
      </c>
      <c r="G39" s="7">
        <v>3</v>
      </c>
      <c r="H39" s="7" cm="1">
        <f t="array" aca="1" ref="H39" ca="1">IFERROR(_xlfn.AGGREGATE(15,6,ROW(INDIRECT("'"&amp;$Q$3&amp;"'!"&amp;$Q$7&amp;"2:"&amp;$Q$7&amp;"1000"))/(INDIRECT("'"&amp;$Q$3&amp;"'!"&amp;$Q$7&amp;"2:"&amp;$Q$7&amp;"1000")&lt;&gt;INDIRECT("'"&amp;$Q$3&amp;"'!"&amp;$Q$7&amp;"1:"&amp;$Q$7&amp;"999")),3),"")</f>
        <v>10</v>
      </c>
      <c r="I39" s="7" t="str" cm="1">
        <f t="array" aca="1" ref="I39" ca="1">IF(H39="","",IF(INDIRECT("'"&amp;$Q$3&amp;"'!"&amp;$Q$7&amp;H39)=1,"ON","OFF"))</f>
        <v>OFF</v>
      </c>
      <c r="J39" s="7" t="e" cm="1">
        <f t="array" aca="1" ref="J39" ca="1">IF(H39="","",(INDIRECT("'"&amp;$Q$3&amp;"'!A"&amp;H39)-INDIRECT("'"&amp;$Q$3&amp;"'!A1"))*86400)</f>
        <v>#VALUE!</v>
      </c>
      <c r="K39" s="7" t="e">
        <f t="shared" ca="1" si="1"/>
        <v>#VALUE!</v>
      </c>
    </row>
    <row r="40" spans="1:19" x14ac:dyDescent="0.25">
      <c r="A40" s="7">
        <v>4</v>
      </c>
      <c r="B40" s="7" t="str" cm="1">
        <f t="array" aca="1" ref="B40" ca="1">IFERROR(_xlfn.AGGREGATE(15,6,ROW(INDIRECT("'"&amp;$Q$3&amp;"'!"&amp;$Q$6&amp;"2:"&amp;$Q$6&amp;"1000"))/(INDIRECT("'"&amp;$Q$3&amp;"'!"&amp;$Q$6&amp;"2:"&amp;$Q$6&amp;"1000")&lt;&gt;INDIRECT("'"&amp;$Q$3&amp;"'!"&amp;$Q$6&amp;"1:"&amp;$Q$6&amp;"999")),4),"")</f>
        <v/>
      </c>
      <c r="C40" s="7" t="str" cm="1">
        <f t="array" aca="1" ref="C40" ca="1">IF(B40="","",IF(INDIRECT("'"&amp;$Q$3&amp;"'!"&amp;$Q$6&amp;B40)=1,"ON","OFF"))</f>
        <v/>
      </c>
      <c r="D40" s="7" t="str" cm="1">
        <f t="array" aca="1" ref="D40" ca="1">IF(B40="","",(INDIRECT("'"&amp;$Q$3&amp;"'!A"&amp;B40)-INDIRECT("'"&amp;$Q$3&amp;"'!A1"))*86400)</f>
        <v/>
      </c>
      <c r="E40" s="7" t="str">
        <f t="shared" ca="1" si="0"/>
        <v/>
      </c>
      <c r="G40" s="7">
        <v>4</v>
      </c>
      <c r="H40" s="7" cm="1">
        <f t="array" aca="1" ref="H40" ca="1">IFERROR(_xlfn.AGGREGATE(15,6,ROW(INDIRECT("'"&amp;$Q$3&amp;"'!"&amp;$Q$7&amp;"2:"&amp;$Q$7&amp;"1000"))/(INDIRECT("'"&amp;$Q$3&amp;"'!"&amp;$Q$7&amp;"2:"&amp;$Q$7&amp;"1000")&lt;&gt;INDIRECT("'"&amp;$Q$3&amp;"'!"&amp;$Q$7&amp;"1:"&amp;$Q$7&amp;"999")),4),"")</f>
        <v>27</v>
      </c>
      <c r="I40" s="7" t="str" cm="1">
        <f t="array" aca="1" ref="I40" ca="1">IF(H40="","",IF(INDIRECT("'"&amp;$Q$3&amp;"'!"&amp;$Q$7&amp;H40)=1,"ON","OFF"))</f>
        <v>ON</v>
      </c>
      <c r="J40" s="7" t="e" cm="1">
        <f t="array" aca="1" ref="J40" ca="1">IF(H40="","",(INDIRECT("'"&amp;$Q$3&amp;"'!A"&amp;H40)-INDIRECT("'"&amp;$Q$3&amp;"'!A1"))*86400)</f>
        <v>#VALUE!</v>
      </c>
      <c r="K40" s="7" t="e">
        <f t="shared" ca="1" si="1"/>
        <v>#VALUE!</v>
      </c>
    </row>
    <row r="41" spans="1:19" x14ac:dyDescent="0.25">
      <c r="A41" s="7">
        <v>5</v>
      </c>
      <c r="B41" s="7" t="str" cm="1">
        <f t="array" aca="1" ref="B41" ca="1">IFERROR(_xlfn.AGGREGATE(15,6,ROW(INDIRECT("'"&amp;$Q$3&amp;"'!"&amp;$Q$6&amp;"2:"&amp;$Q$6&amp;"1000"))/(INDIRECT("'"&amp;$Q$3&amp;"'!"&amp;$Q$6&amp;"2:"&amp;$Q$6&amp;"1000")&lt;&gt;INDIRECT("'"&amp;$Q$3&amp;"'!"&amp;$Q$6&amp;"1:"&amp;$Q$6&amp;"999")),5),"")</f>
        <v/>
      </c>
      <c r="C41" s="7" t="str" cm="1">
        <f t="array" aca="1" ref="C41" ca="1">IF(B41="","",IF(INDIRECT("'"&amp;$Q$3&amp;"'!"&amp;$Q$6&amp;B41)=1,"ON","OFF"))</f>
        <v/>
      </c>
      <c r="D41" s="7" t="str" cm="1">
        <f t="array" aca="1" ref="D41" ca="1">IF(B41="","",(INDIRECT("'"&amp;$Q$3&amp;"'!A"&amp;B41)-INDIRECT("'"&amp;$Q$3&amp;"'!A1"))*86400)</f>
        <v/>
      </c>
      <c r="E41" s="7" t="str">
        <f t="shared" ca="1" si="0"/>
        <v/>
      </c>
      <c r="G41" s="7">
        <v>5</v>
      </c>
      <c r="H41" s="7" cm="1">
        <f t="array" aca="1" ref="H41" ca="1">IFERROR(_xlfn.AGGREGATE(15,6,ROW(INDIRECT("'"&amp;$Q$3&amp;"'!"&amp;$Q$7&amp;"2:"&amp;$Q$7&amp;"1000"))/(INDIRECT("'"&amp;$Q$3&amp;"'!"&amp;$Q$7&amp;"2:"&amp;$Q$7&amp;"1000")&lt;&gt;INDIRECT("'"&amp;$Q$3&amp;"'!"&amp;$Q$7&amp;"1:"&amp;$Q$7&amp;"999")),5),"")</f>
        <v>30</v>
      </c>
      <c r="I41" s="7" t="str" cm="1">
        <f t="array" aca="1" ref="I41" ca="1">IF(H41="","",IF(INDIRECT("'"&amp;$Q$3&amp;"'!"&amp;$Q$7&amp;H41)=1,"ON","OFF"))</f>
        <v>OFF</v>
      </c>
      <c r="J41" s="7" t="e" cm="1">
        <f t="array" aca="1" ref="J41" ca="1">IF(H41="","",(INDIRECT("'"&amp;$Q$3&amp;"'!A"&amp;H41)-INDIRECT("'"&amp;$Q$3&amp;"'!A1"))*86400)</f>
        <v>#VALUE!</v>
      </c>
      <c r="K41" s="7" t="e">
        <f t="shared" ca="1" si="1"/>
        <v>#VALUE!</v>
      </c>
    </row>
    <row r="42" spans="1:19" x14ac:dyDescent="0.25">
      <c r="A42" s="7">
        <v>6</v>
      </c>
      <c r="B42" s="7" t="str" cm="1">
        <f t="array" aca="1" ref="B42" ca="1">IFERROR(_xlfn.AGGREGATE(15,6,ROW(INDIRECT("'"&amp;$Q$3&amp;"'!"&amp;$Q$6&amp;"2:"&amp;$Q$6&amp;"1000"))/(INDIRECT("'"&amp;$Q$3&amp;"'!"&amp;$Q$6&amp;"2:"&amp;$Q$6&amp;"1000")&lt;&gt;INDIRECT("'"&amp;$Q$3&amp;"'!"&amp;$Q$6&amp;"1:"&amp;$Q$6&amp;"999")),6),"")</f>
        <v/>
      </c>
      <c r="C42" s="7" t="str" cm="1">
        <f t="array" aca="1" ref="C42" ca="1">IF(B42="","",IF(INDIRECT("'"&amp;$Q$3&amp;"'!"&amp;$Q$6&amp;B42)=1,"ON","OFF"))</f>
        <v/>
      </c>
      <c r="D42" s="7" t="str" cm="1">
        <f t="array" aca="1" ref="D42" ca="1">IF(B42="","",(INDIRECT("'"&amp;$Q$3&amp;"'!A"&amp;B42)-INDIRECT("'"&amp;$Q$3&amp;"'!A1"))*86400)</f>
        <v/>
      </c>
      <c r="E42" s="7" t="str">
        <f t="shared" ca="1" si="0"/>
        <v/>
      </c>
      <c r="G42" s="7">
        <v>6</v>
      </c>
      <c r="H42" s="7" cm="1">
        <f t="array" aca="1" ref="H42" ca="1">IFERROR(_xlfn.AGGREGATE(15,6,ROW(INDIRECT("'"&amp;$Q$3&amp;"'!"&amp;$Q$7&amp;"2:"&amp;$Q$7&amp;"1000"))/(INDIRECT("'"&amp;$Q$3&amp;"'!"&amp;$Q$7&amp;"2:"&amp;$Q$7&amp;"1000")&lt;&gt;INDIRECT("'"&amp;$Q$3&amp;"'!"&amp;$Q$7&amp;"1:"&amp;$Q$7&amp;"999")),6),"")</f>
        <v>47</v>
      </c>
      <c r="I42" s="7" t="str" cm="1">
        <f t="array" aca="1" ref="I42" ca="1">IF(H42="","",IF(INDIRECT("'"&amp;$Q$3&amp;"'!"&amp;$Q$7&amp;H42)=1,"ON","OFF"))</f>
        <v>ON</v>
      </c>
      <c r="J42" s="7" t="e" cm="1">
        <f t="array" aca="1" ref="J42" ca="1">IF(H42="","",(INDIRECT("'"&amp;$Q$3&amp;"'!A"&amp;H42)-INDIRECT("'"&amp;$Q$3&amp;"'!A1"))*86400)</f>
        <v>#VALUE!</v>
      </c>
      <c r="K42" s="7" t="e">
        <f t="shared" ca="1" si="1"/>
        <v>#VALUE!</v>
      </c>
    </row>
    <row r="43" spans="1:19" x14ac:dyDescent="0.25">
      <c r="A43" s="7">
        <v>7</v>
      </c>
      <c r="B43" s="7" t="str" cm="1">
        <f t="array" aca="1" ref="B43" ca="1">IFERROR(_xlfn.AGGREGATE(15,6,ROW(INDIRECT("'"&amp;$Q$3&amp;"'!"&amp;$Q$6&amp;"2:"&amp;$Q$6&amp;"1000"))/(INDIRECT("'"&amp;$Q$3&amp;"'!"&amp;$Q$6&amp;"2:"&amp;$Q$6&amp;"1000")&lt;&gt;INDIRECT("'"&amp;$Q$3&amp;"'!"&amp;$Q$6&amp;"1:"&amp;$Q$6&amp;"999")),7),"")</f>
        <v/>
      </c>
      <c r="C43" s="7" t="str" cm="1">
        <f t="array" aca="1" ref="C43" ca="1">IF(B43="","",IF(INDIRECT("'"&amp;$Q$3&amp;"'!"&amp;$Q$6&amp;B43)=1,"ON","OFF"))</f>
        <v/>
      </c>
      <c r="D43" s="7" t="str" cm="1">
        <f t="array" aca="1" ref="D43" ca="1">IF(B43="","",(INDIRECT("'"&amp;$Q$3&amp;"'!A"&amp;B43)-INDIRECT("'"&amp;$Q$3&amp;"'!A1"))*86400)</f>
        <v/>
      </c>
      <c r="E43" s="7" t="str">
        <f t="shared" ca="1" si="0"/>
        <v/>
      </c>
      <c r="G43" s="7">
        <v>7</v>
      </c>
      <c r="H43" s="7" cm="1">
        <f t="array" aca="1" ref="H43" ca="1">IFERROR(_xlfn.AGGREGATE(15,6,ROW(INDIRECT("'"&amp;$Q$3&amp;"'!"&amp;$Q$7&amp;"2:"&amp;$Q$7&amp;"1000"))/(INDIRECT("'"&amp;$Q$3&amp;"'!"&amp;$Q$7&amp;"2:"&amp;$Q$7&amp;"1000")&lt;&gt;INDIRECT("'"&amp;$Q$3&amp;"'!"&amp;$Q$7&amp;"1:"&amp;$Q$7&amp;"999")),7),"")</f>
        <v>50</v>
      </c>
      <c r="I43" s="7" t="str" cm="1">
        <f t="array" aca="1" ref="I43" ca="1">IF(H43="","",IF(INDIRECT("'"&amp;$Q$3&amp;"'!"&amp;$Q$7&amp;H43)=1,"ON","OFF"))</f>
        <v>OFF</v>
      </c>
      <c r="J43" s="7" t="e" cm="1">
        <f t="array" aca="1" ref="J43" ca="1">IF(H43="","",(INDIRECT("'"&amp;$Q$3&amp;"'!A"&amp;H43)-INDIRECT("'"&amp;$Q$3&amp;"'!A1"))*86400)</f>
        <v>#VALUE!</v>
      </c>
      <c r="K43" s="7" t="e">
        <f t="shared" ca="1" si="1"/>
        <v>#VALUE!</v>
      </c>
    </row>
    <row r="44" spans="1:19" x14ac:dyDescent="0.25">
      <c r="A44" s="7">
        <v>8</v>
      </c>
      <c r="B44" s="7" t="str" cm="1">
        <f t="array" aca="1" ref="B44" ca="1">IFERROR(_xlfn.AGGREGATE(15,6,ROW(INDIRECT("'"&amp;$Q$3&amp;"'!"&amp;$Q$6&amp;"2:"&amp;$Q$6&amp;"1000"))/(INDIRECT("'"&amp;$Q$3&amp;"'!"&amp;$Q$6&amp;"2:"&amp;$Q$6&amp;"1000")&lt;&gt;INDIRECT("'"&amp;$Q$3&amp;"'!"&amp;$Q$6&amp;"1:"&amp;$Q$6&amp;"999")),8),"")</f>
        <v/>
      </c>
      <c r="C44" s="7" t="str" cm="1">
        <f t="array" aca="1" ref="C44" ca="1">IF(B44="","",IF(INDIRECT("'"&amp;$Q$3&amp;"'!"&amp;$Q$6&amp;B44)=1,"ON","OFF"))</f>
        <v/>
      </c>
      <c r="D44" s="7" t="str" cm="1">
        <f t="array" aca="1" ref="D44" ca="1">IF(B44="","",(INDIRECT("'"&amp;$Q$3&amp;"'!A"&amp;B44)-INDIRECT("'"&amp;$Q$3&amp;"'!A1"))*86400)</f>
        <v/>
      </c>
      <c r="E44" s="7" t="str">
        <f t="shared" ca="1" si="0"/>
        <v/>
      </c>
      <c r="G44" s="7">
        <v>8</v>
      </c>
      <c r="H44" s="7" cm="1">
        <f t="array" aca="1" ref="H44" ca="1">IFERROR(_xlfn.AGGREGATE(15,6,ROW(INDIRECT("'"&amp;$Q$3&amp;"'!"&amp;$Q$7&amp;"2:"&amp;$Q$7&amp;"1000"))/(INDIRECT("'"&amp;$Q$3&amp;"'!"&amp;$Q$7&amp;"2:"&amp;$Q$7&amp;"1000")&lt;&gt;INDIRECT("'"&amp;$Q$3&amp;"'!"&amp;$Q$7&amp;"1:"&amp;$Q$7&amp;"999")),8),"")</f>
        <v>67</v>
      </c>
      <c r="I44" s="7" t="str" cm="1">
        <f t="array" aca="1" ref="I44" ca="1">IF(H44="","",IF(INDIRECT("'"&amp;$Q$3&amp;"'!"&amp;$Q$7&amp;H44)=1,"ON","OFF"))</f>
        <v>ON</v>
      </c>
      <c r="J44" s="7" t="e" cm="1">
        <f t="array" aca="1" ref="J44" ca="1">IF(H44="","",(INDIRECT("'"&amp;$Q$3&amp;"'!A"&amp;H44)-INDIRECT("'"&amp;$Q$3&amp;"'!A1"))*86400)</f>
        <v>#VALUE!</v>
      </c>
      <c r="K44" s="7" t="e">
        <f t="shared" ca="1" si="1"/>
        <v>#VALUE!</v>
      </c>
    </row>
    <row r="45" spans="1:19" x14ac:dyDescent="0.25">
      <c r="A45" s="7">
        <v>9</v>
      </c>
      <c r="B45" s="7" t="str" cm="1">
        <f t="array" aca="1" ref="B45" ca="1">IFERROR(_xlfn.AGGREGATE(15,6,ROW(INDIRECT("'"&amp;$Q$3&amp;"'!"&amp;$Q$6&amp;"2:"&amp;$Q$6&amp;"1000"))/(INDIRECT("'"&amp;$Q$3&amp;"'!"&amp;$Q$6&amp;"2:"&amp;$Q$6&amp;"1000")&lt;&gt;INDIRECT("'"&amp;$Q$3&amp;"'!"&amp;$Q$6&amp;"1:"&amp;$Q$6&amp;"999")),9),"")</f>
        <v/>
      </c>
      <c r="C45" s="7" t="str" cm="1">
        <f t="array" aca="1" ref="C45" ca="1">IF(B45="","",IF(INDIRECT("'"&amp;$Q$3&amp;"'!"&amp;$Q$6&amp;B45)=1,"ON","OFF"))</f>
        <v/>
      </c>
      <c r="D45" s="7" t="str" cm="1">
        <f t="array" aca="1" ref="D45" ca="1">IF(B45="","",(INDIRECT("'"&amp;$Q$3&amp;"'!A"&amp;B45)-INDIRECT("'"&amp;$Q$3&amp;"'!A1"))*86400)</f>
        <v/>
      </c>
      <c r="E45" s="7" t="str">
        <f t="shared" ca="1" si="0"/>
        <v/>
      </c>
      <c r="G45" s="7">
        <v>9</v>
      </c>
      <c r="H45" s="7" cm="1">
        <f t="array" aca="1" ref="H45" ca="1">IFERROR(_xlfn.AGGREGATE(15,6,ROW(INDIRECT("'"&amp;$Q$3&amp;"'!"&amp;$Q$7&amp;"2:"&amp;$Q$7&amp;"1000"))/(INDIRECT("'"&amp;$Q$3&amp;"'!"&amp;$Q$7&amp;"2:"&amp;$Q$7&amp;"1000")&lt;&gt;INDIRECT("'"&amp;$Q$3&amp;"'!"&amp;$Q$7&amp;"1:"&amp;$Q$7&amp;"999")),9),"")</f>
        <v>70</v>
      </c>
      <c r="I45" s="7" t="str" cm="1">
        <f t="array" aca="1" ref="I45" ca="1">IF(H45="","",IF(INDIRECT("'"&amp;$Q$3&amp;"'!"&amp;$Q$7&amp;H45)=1,"ON","OFF"))</f>
        <v>OFF</v>
      </c>
      <c r="J45" s="7" t="e" cm="1">
        <f t="array" aca="1" ref="J45" ca="1">IF(H45="","",(INDIRECT("'"&amp;$Q$3&amp;"'!A"&amp;H45)-INDIRECT("'"&amp;$Q$3&amp;"'!A1"))*86400)</f>
        <v>#VALUE!</v>
      </c>
      <c r="K45" s="7" t="e">
        <f t="shared" ca="1" si="1"/>
        <v>#VALUE!</v>
      </c>
    </row>
    <row r="46" spans="1:19" x14ac:dyDescent="0.25">
      <c r="A46" s="7">
        <v>10</v>
      </c>
      <c r="B46" s="7" t="str" cm="1">
        <f t="array" aca="1" ref="B46" ca="1">IFERROR(_xlfn.AGGREGATE(15,6,ROW(INDIRECT("'"&amp;$Q$3&amp;"'!"&amp;$Q$6&amp;"2:"&amp;$Q$6&amp;"1000"))/(INDIRECT("'"&amp;$Q$3&amp;"'!"&amp;$Q$6&amp;"2:"&amp;$Q$6&amp;"1000")&lt;&gt;INDIRECT("'"&amp;$Q$3&amp;"'!"&amp;$Q$6&amp;"1:"&amp;$Q$6&amp;"999")),10),"")</f>
        <v/>
      </c>
      <c r="C46" s="7" t="str" cm="1">
        <f t="array" aca="1" ref="C46" ca="1">IF(B46="","",IF(INDIRECT("'"&amp;$Q$3&amp;"'!"&amp;$Q$6&amp;B46)=1,"ON","OFF"))</f>
        <v/>
      </c>
      <c r="D46" s="7" t="str" cm="1">
        <f t="array" aca="1" ref="D46" ca="1">IF(B46="","",(INDIRECT("'"&amp;$Q$3&amp;"'!A"&amp;B46)-INDIRECT("'"&amp;$Q$3&amp;"'!A1"))*86400)</f>
        <v/>
      </c>
      <c r="E46" s="7" t="str">
        <f t="shared" ca="1" si="0"/>
        <v/>
      </c>
      <c r="G46" s="7">
        <v>10</v>
      </c>
      <c r="H46" s="7" cm="1">
        <f t="array" aca="1" ref="H46" ca="1">IFERROR(_xlfn.AGGREGATE(15,6,ROW(INDIRECT("'"&amp;$Q$3&amp;"'!"&amp;$Q$7&amp;"2:"&amp;$Q$7&amp;"1000"))/(INDIRECT("'"&amp;$Q$3&amp;"'!"&amp;$Q$7&amp;"2:"&amp;$Q$7&amp;"1000")&lt;&gt;INDIRECT("'"&amp;$Q$3&amp;"'!"&amp;$Q$7&amp;"1:"&amp;$Q$7&amp;"999")),10),"")</f>
        <v>88</v>
      </c>
      <c r="I46" s="7" t="str" cm="1">
        <f t="array" aca="1" ref="I46" ca="1">IF(H46="","",IF(INDIRECT("'"&amp;$Q$3&amp;"'!"&amp;$Q$7&amp;H46)=1,"ON","OFF"))</f>
        <v>ON</v>
      </c>
      <c r="J46" s="7" t="e" cm="1">
        <f t="array" aca="1" ref="J46" ca="1">IF(H46="","",(INDIRECT("'"&amp;$Q$3&amp;"'!A"&amp;H46)-INDIRECT("'"&amp;$Q$3&amp;"'!A1"))*86400)</f>
        <v>#VALUE!</v>
      </c>
      <c r="K46" s="7" t="e">
        <f t="shared" ca="1" si="1"/>
        <v>#VALUE!</v>
      </c>
    </row>
    <row r="47" spans="1:19" x14ac:dyDescent="0.25">
      <c r="A47" s="7">
        <v>11</v>
      </c>
      <c r="B47" s="7" t="str" cm="1">
        <f t="array" aca="1" ref="B47" ca="1">IFERROR(_xlfn.AGGREGATE(15,6,ROW(INDIRECT("'"&amp;$Q$3&amp;"'!"&amp;$Q$6&amp;"2:"&amp;$Q$6&amp;"1000"))/(INDIRECT("'"&amp;$Q$3&amp;"'!"&amp;$Q$6&amp;"2:"&amp;$Q$6&amp;"1000")&lt;&gt;INDIRECT("'"&amp;$Q$3&amp;"'!"&amp;$Q$6&amp;"1:"&amp;$Q$6&amp;"999")),11),"")</f>
        <v/>
      </c>
      <c r="C47" s="7" t="str" cm="1">
        <f t="array" aca="1" ref="C47" ca="1">IF(B47="","",IF(INDIRECT("'"&amp;$Q$3&amp;"'!"&amp;$Q$6&amp;B47)=1,"ON","OFF"))</f>
        <v/>
      </c>
      <c r="D47" s="7" t="str" cm="1">
        <f t="array" aca="1" ref="D47" ca="1">IF(B47="","",(INDIRECT("'"&amp;$Q$3&amp;"'!A"&amp;B47)-INDIRECT("'"&amp;$Q$3&amp;"'!A1"))*86400)</f>
        <v/>
      </c>
      <c r="E47" s="7" t="str">
        <f t="shared" ca="1" si="0"/>
        <v/>
      </c>
      <c r="G47" s="7">
        <v>11</v>
      </c>
      <c r="H47" s="7" cm="1">
        <f t="array" aca="1" ref="H47" ca="1">IFERROR(_xlfn.AGGREGATE(15,6,ROW(INDIRECT("'"&amp;$Q$3&amp;"'!"&amp;$Q$7&amp;"2:"&amp;$Q$7&amp;"1000"))/(INDIRECT("'"&amp;$Q$3&amp;"'!"&amp;$Q$7&amp;"2:"&amp;$Q$7&amp;"1000")&lt;&gt;INDIRECT("'"&amp;$Q$3&amp;"'!"&amp;$Q$7&amp;"1:"&amp;$Q$7&amp;"999")),11),"")</f>
        <v>90</v>
      </c>
      <c r="I47" s="7" t="str" cm="1">
        <f t="array" aca="1" ref="I47" ca="1">IF(H47="","",IF(INDIRECT("'"&amp;$Q$3&amp;"'!"&amp;$Q$7&amp;H47)=1,"ON","OFF"))</f>
        <v>OFF</v>
      </c>
      <c r="J47" s="7" t="e" cm="1">
        <f t="array" aca="1" ref="J47" ca="1">IF(H47="","",(INDIRECT("'"&amp;$Q$3&amp;"'!A"&amp;H47)-INDIRECT("'"&amp;$Q$3&amp;"'!A1"))*86400)</f>
        <v>#VALUE!</v>
      </c>
      <c r="K47" s="7" t="e">
        <f t="shared" ca="1" si="1"/>
        <v>#VALUE!</v>
      </c>
    </row>
    <row r="48" spans="1:19" x14ac:dyDescent="0.25">
      <c r="A48" s="7">
        <v>12</v>
      </c>
      <c r="B48" s="7" t="str" cm="1">
        <f t="array" aca="1" ref="B48" ca="1">IFERROR(_xlfn.AGGREGATE(15,6,ROW(INDIRECT("'"&amp;$Q$3&amp;"'!"&amp;$Q$6&amp;"2:"&amp;$Q$6&amp;"1000"))/(INDIRECT("'"&amp;$Q$3&amp;"'!"&amp;$Q$6&amp;"2:"&amp;$Q$6&amp;"1000")&lt;&gt;INDIRECT("'"&amp;$Q$3&amp;"'!"&amp;$Q$6&amp;"1:"&amp;$Q$6&amp;"999")),12),"")</f>
        <v/>
      </c>
      <c r="C48" s="7" t="str" cm="1">
        <f t="array" aca="1" ref="C48" ca="1">IF(B48="","",IF(INDIRECT("'"&amp;$Q$3&amp;"'!"&amp;$Q$6&amp;B48)=1,"ON","OFF"))</f>
        <v/>
      </c>
      <c r="D48" s="7" t="str" cm="1">
        <f t="array" aca="1" ref="D48" ca="1">IF(B48="","",(INDIRECT("'"&amp;$Q$3&amp;"'!A"&amp;B48)-INDIRECT("'"&amp;$Q$3&amp;"'!A1"))*86400)</f>
        <v/>
      </c>
      <c r="E48" s="7" t="str">
        <f t="shared" ca="1" si="0"/>
        <v/>
      </c>
      <c r="G48" s="7">
        <v>12</v>
      </c>
      <c r="H48" s="7" cm="1">
        <f t="array" aca="1" ref="H48" ca="1">IFERROR(_xlfn.AGGREGATE(15,6,ROW(INDIRECT("'"&amp;$Q$3&amp;"'!"&amp;$Q$7&amp;"2:"&amp;$Q$7&amp;"1000"))/(INDIRECT("'"&amp;$Q$3&amp;"'!"&amp;$Q$7&amp;"2:"&amp;$Q$7&amp;"1000")&lt;&gt;INDIRECT("'"&amp;$Q$3&amp;"'!"&amp;$Q$7&amp;"1:"&amp;$Q$7&amp;"999")),12),"")</f>
        <v>107</v>
      </c>
      <c r="I48" s="7" t="str" cm="1">
        <f t="array" aca="1" ref="I48" ca="1">IF(H48="","",IF(INDIRECT("'"&amp;$Q$3&amp;"'!"&amp;$Q$7&amp;H48)=1,"ON","OFF"))</f>
        <v>ON</v>
      </c>
      <c r="J48" s="7" t="e" cm="1">
        <f t="array" aca="1" ref="J48" ca="1">IF(H48="","",(INDIRECT("'"&amp;$Q$3&amp;"'!A"&amp;H48)-INDIRECT("'"&amp;$Q$3&amp;"'!A1"))*86400)</f>
        <v>#VALUE!</v>
      </c>
      <c r="K48" s="7" t="e">
        <f t="shared" ca="1" si="1"/>
        <v>#VALUE!</v>
      </c>
    </row>
    <row r="49" spans="1:11" x14ac:dyDescent="0.25">
      <c r="A49" s="7">
        <v>13</v>
      </c>
      <c r="B49" s="7" t="str" cm="1">
        <f t="array" aca="1" ref="B49" ca="1">IFERROR(_xlfn.AGGREGATE(15,6,ROW(INDIRECT("'"&amp;$Q$3&amp;"'!"&amp;$Q$6&amp;"2:"&amp;$Q$6&amp;"1000"))/(INDIRECT("'"&amp;$Q$3&amp;"'!"&amp;$Q$6&amp;"2:"&amp;$Q$6&amp;"1000")&lt;&gt;INDIRECT("'"&amp;$Q$3&amp;"'!"&amp;$Q$6&amp;"1:"&amp;$Q$6&amp;"999")),13),"")</f>
        <v/>
      </c>
      <c r="C49" s="7" t="str" cm="1">
        <f t="array" aca="1" ref="C49" ca="1">IF(B49="","",IF(INDIRECT("'"&amp;$Q$3&amp;"'!"&amp;$Q$6&amp;B49)=1,"ON","OFF"))</f>
        <v/>
      </c>
      <c r="D49" s="7" t="str" cm="1">
        <f t="array" aca="1" ref="D49" ca="1">IF(B49="","",(INDIRECT("'"&amp;$Q$3&amp;"'!A"&amp;B49)-INDIRECT("'"&amp;$Q$3&amp;"'!A1"))*86400)</f>
        <v/>
      </c>
      <c r="E49" s="7" t="str">
        <f t="shared" ca="1" si="0"/>
        <v/>
      </c>
      <c r="G49" s="7">
        <v>13</v>
      </c>
      <c r="H49" s="7" cm="1">
        <f t="array" aca="1" ref="H49" ca="1">IFERROR(_xlfn.AGGREGATE(15,6,ROW(INDIRECT("'"&amp;$Q$3&amp;"'!"&amp;$Q$7&amp;"2:"&amp;$Q$7&amp;"1000"))/(INDIRECT("'"&amp;$Q$3&amp;"'!"&amp;$Q$7&amp;"2:"&amp;$Q$7&amp;"1000")&lt;&gt;INDIRECT("'"&amp;$Q$3&amp;"'!"&amp;$Q$7&amp;"1:"&amp;$Q$7&amp;"999")),13),"")</f>
        <v>109</v>
      </c>
      <c r="I49" s="7" t="str" cm="1">
        <f t="array" aca="1" ref="I49" ca="1">IF(H49="","",IF(INDIRECT("'"&amp;$Q$3&amp;"'!"&amp;$Q$7&amp;H49)=1,"ON","OFF"))</f>
        <v>OFF</v>
      </c>
      <c r="J49" s="7" t="e" cm="1">
        <f t="array" aca="1" ref="J49" ca="1">IF(H49="","",(INDIRECT("'"&amp;$Q$3&amp;"'!A"&amp;H49)-INDIRECT("'"&amp;$Q$3&amp;"'!A1"))*86400)</f>
        <v>#VALUE!</v>
      </c>
      <c r="K49" s="7" t="e">
        <f t="shared" ca="1" si="1"/>
        <v>#VALUE!</v>
      </c>
    </row>
    <row r="50" spans="1:11" x14ac:dyDescent="0.25">
      <c r="A50" s="7">
        <v>14</v>
      </c>
      <c r="B50" s="7" t="str" cm="1">
        <f t="array" aca="1" ref="B50" ca="1">IFERROR(_xlfn.AGGREGATE(15,6,ROW(INDIRECT("'"&amp;$Q$3&amp;"'!"&amp;$Q$6&amp;"2:"&amp;$Q$6&amp;"1000"))/(INDIRECT("'"&amp;$Q$3&amp;"'!"&amp;$Q$6&amp;"2:"&amp;$Q$6&amp;"1000")&lt;&gt;INDIRECT("'"&amp;$Q$3&amp;"'!"&amp;$Q$6&amp;"1:"&amp;$Q$6&amp;"999")),14),"")</f>
        <v/>
      </c>
      <c r="C50" s="7" t="str" cm="1">
        <f t="array" aca="1" ref="C50" ca="1">IF(B50="","",IF(INDIRECT("'"&amp;$Q$3&amp;"'!"&amp;$Q$6&amp;B50)=1,"ON","OFF"))</f>
        <v/>
      </c>
      <c r="D50" s="7" t="str" cm="1">
        <f t="array" aca="1" ref="D50" ca="1">IF(B50="","",(INDIRECT("'"&amp;$Q$3&amp;"'!A"&amp;B50)-INDIRECT("'"&amp;$Q$3&amp;"'!A1"))*86400)</f>
        <v/>
      </c>
      <c r="E50" s="7" t="str">
        <f t="shared" ca="1" si="0"/>
        <v/>
      </c>
      <c r="G50" s="7">
        <v>14</v>
      </c>
      <c r="H50" s="7" cm="1">
        <f t="array" aca="1" ref="H50" ca="1">IFERROR(_xlfn.AGGREGATE(15,6,ROW(INDIRECT("'"&amp;$Q$3&amp;"'!"&amp;$Q$7&amp;"2:"&amp;$Q$7&amp;"1000"))/(INDIRECT("'"&amp;$Q$3&amp;"'!"&amp;$Q$7&amp;"2:"&amp;$Q$7&amp;"1000")&lt;&gt;INDIRECT("'"&amp;$Q$3&amp;"'!"&amp;$Q$7&amp;"1:"&amp;$Q$7&amp;"999")),14),"")</f>
        <v>127</v>
      </c>
      <c r="I50" s="7" t="str" cm="1">
        <f t="array" aca="1" ref="I50" ca="1">IF(H50="","",IF(INDIRECT("'"&amp;$Q$3&amp;"'!"&amp;$Q$7&amp;H50)=1,"ON","OFF"))</f>
        <v>ON</v>
      </c>
      <c r="J50" s="7" t="e" cm="1">
        <f t="array" aca="1" ref="J50" ca="1">IF(H50="","",(INDIRECT("'"&amp;$Q$3&amp;"'!A"&amp;H50)-INDIRECT("'"&amp;$Q$3&amp;"'!A1"))*86400)</f>
        <v>#VALUE!</v>
      </c>
      <c r="K50" s="7" t="e">
        <f t="shared" ca="1" si="1"/>
        <v>#VALUE!</v>
      </c>
    </row>
    <row r="51" spans="1:11" x14ac:dyDescent="0.25">
      <c r="A51" s="7">
        <v>15</v>
      </c>
      <c r="B51" s="7" t="str" cm="1">
        <f t="array" aca="1" ref="B51" ca="1">IFERROR(_xlfn.AGGREGATE(15,6,ROW(INDIRECT("'"&amp;$Q$3&amp;"'!"&amp;$Q$6&amp;"2:"&amp;$Q$6&amp;"1000"))/(INDIRECT("'"&amp;$Q$3&amp;"'!"&amp;$Q$6&amp;"2:"&amp;$Q$6&amp;"1000")&lt;&gt;INDIRECT("'"&amp;$Q$3&amp;"'!"&amp;$Q$6&amp;"1:"&amp;$Q$6&amp;"999")),15),"")</f>
        <v/>
      </c>
      <c r="C51" s="7" t="str" cm="1">
        <f t="array" aca="1" ref="C51" ca="1">IF(B51="","",IF(INDIRECT("'"&amp;$Q$3&amp;"'!"&amp;$Q$6&amp;B51)=1,"ON","OFF"))</f>
        <v/>
      </c>
      <c r="D51" s="7" t="str" cm="1">
        <f t="array" aca="1" ref="D51" ca="1">IF(B51="","",(INDIRECT("'"&amp;$Q$3&amp;"'!A"&amp;B51)-INDIRECT("'"&amp;$Q$3&amp;"'!A1"))*86400)</f>
        <v/>
      </c>
      <c r="E51" s="7" t="str">
        <f t="shared" ca="1" si="0"/>
        <v/>
      </c>
      <c r="G51" s="7">
        <v>15</v>
      </c>
      <c r="H51" s="7" cm="1">
        <f t="array" aca="1" ref="H51" ca="1">IFERROR(_xlfn.AGGREGATE(15,6,ROW(INDIRECT("'"&amp;$Q$3&amp;"'!"&amp;$Q$7&amp;"2:"&amp;$Q$7&amp;"1000"))/(INDIRECT("'"&amp;$Q$3&amp;"'!"&amp;$Q$7&amp;"2:"&amp;$Q$7&amp;"1000")&lt;&gt;INDIRECT("'"&amp;$Q$3&amp;"'!"&amp;$Q$7&amp;"1:"&amp;$Q$7&amp;"999")),15),"")</f>
        <v>129</v>
      </c>
      <c r="I51" s="7" t="str" cm="1">
        <f t="array" aca="1" ref="I51" ca="1">IF(H51="","",IF(INDIRECT("'"&amp;$Q$3&amp;"'!"&amp;$Q$7&amp;H51)=1,"ON","OFF"))</f>
        <v>OFF</v>
      </c>
      <c r="J51" s="7" t="e" cm="1">
        <f t="array" aca="1" ref="J51" ca="1">IF(H51="","",(INDIRECT("'"&amp;$Q$3&amp;"'!A"&amp;H51)-INDIRECT("'"&amp;$Q$3&amp;"'!A1"))*86400)</f>
        <v>#VALUE!</v>
      </c>
      <c r="K51" s="7" t="e">
        <f t="shared" ca="1" si="1"/>
        <v>#VALUE!</v>
      </c>
    </row>
    <row r="52" spans="1:11" x14ac:dyDescent="0.25">
      <c r="A52" s="7">
        <v>16</v>
      </c>
      <c r="B52" s="7" t="str" cm="1">
        <f t="array" aca="1" ref="B52" ca="1">IFERROR(_xlfn.AGGREGATE(15,6,ROW(INDIRECT("'"&amp;$Q$3&amp;"'!"&amp;$Q$6&amp;"2:"&amp;$Q$6&amp;"1000"))/(INDIRECT("'"&amp;$Q$3&amp;"'!"&amp;$Q$6&amp;"2:"&amp;$Q$6&amp;"1000")&lt;&gt;INDIRECT("'"&amp;$Q$3&amp;"'!"&amp;$Q$6&amp;"1:"&amp;$Q$6&amp;"999")),16),"")</f>
        <v/>
      </c>
      <c r="C52" s="7" t="str" cm="1">
        <f t="array" aca="1" ref="C52" ca="1">IF(B52="","",IF(INDIRECT("'"&amp;$Q$3&amp;"'!"&amp;$Q$6&amp;B52)=1,"ON","OFF"))</f>
        <v/>
      </c>
      <c r="D52" s="7" t="str" cm="1">
        <f t="array" aca="1" ref="D52" ca="1">IF(B52="","",(INDIRECT("'"&amp;$Q$3&amp;"'!A"&amp;B52)-INDIRECT("'"&amp;$Q$3&amp;"'!A1"))*86400)</f>
        <v/>
      </c>
      <c r="E52" s="7" t="str">
        <f t="shared" ca="1" si="0"/>
        <v/>
      </c>
      <c r="G52" s="7">
        <v>16</v>
      </c>
      <c r="H52" s="7" cm="1">
        <f t="array" aca="1" ref="H52" ca="1">IFERROR(_xlfn.AGGREGATE(15,6,ROW(INDIRECT("'"&amp;$Q$3&amp;"'!"&amp;$Q$7&amp;"2:"&amp;$Q$7&amp;"1000"))/(INDIRECT("'"&amp;$Q$3&amp;"'!"&amp;$Q$7&amp;"2:"&amp;$Q$7&amp;"1000")&lt;&gt;INDIRECT("'"&amp;$Q$3&amp;"'!"&amp;$Q$7&amp;"1:"&amp;$Q$7&amp;"999")),16),"")</f>
        <v>147</v>
      </c>
      <c r="I52" s="7" t="str" cm="1">
        <f t="array" aca="1" ref="I52" ca="1">IF(H52="","",IF(INDIRECT("'"&amp;$Q$3&amp;"'!"&amp;$Q$7&amp;H52)=1,"ON","OFF"))</f>
        <v>ON</v>
      </c>
      <c r="J52" s="7" t="e" cm="1">
        <f t="array" aca="1" ref="J52" ca="1">IF(H52="","",(INDIRECT("'"&amp;$Q$3&amp;"'!A"&amp;H52)-INDIRECT("'"&amp;$Q$3&amp;"'!A1"))*86400)</f>
        <v>#VALUE!</v>
      </c>
      <c r="K52" s="7" t="e">
        <f t="shared" ca="1" si="1"/>
        <v>#VALUE!</v>
      </c>
    </row>
    <row r="53" spans="1:11" x14ac:dyDescent="0.25">
      <c r="A53" s="7">
        <v>17</v>
      </c>
      <c r="B53" s="7" t="str" cm="1">
        <f t="array" aca="1" ref="B53" ca="1">IFERROR(_xlfn.AGGREGATE(15,6,ROW(INDIRECT("'"&amp;$Q$3&amp;"'!"&amp;$Q$6&amp;"2:"&amp;$Q$6&amp;"1000"))/(INDIRECT("'"&amp;$Q$3&amp;"'!"&amp;$Q$6&amp;"2:"&amp;$Q$6&amp;"1000")&lt;&gt;INDIRECT("'"&amp;$Q$3&amp;"'!"&amp;$Q$6&amp;"1:"&amp;$Q$6&amp;"999")),17),"")</f>
        <v/>
      </c>
      <c r="C53" s="7" t="str" cm="1">
        <f t="array" aca="1" ref="C53" ca="1">IF(B53="","",IF(INDIRECT("'"&amp;$Q$3&amp;"'!"&amp;$Q$6&amp;B53)=1,"ON","OFF"))</f>
        <v/>
      </c>
      <c r="D53" s="7" t="str" cm="1">
        <f t="array" aca="1" ref="D53" ca="1">IF(B53="","",(INDIRECT("'"&amp;$Q$3&amp;"'!A"&amp;B53)-INDIRECT("'"&amp;$Q$3&amp;"'!A1"))*86400)</f>
        <v/>
      </c>
      <c r="E53" s="7" t="str">
        <f t="shared" ca="1" si="0"/>
        <v/>
      </c>
      <c r="G53" s="7">
        <v>17</v>
      </c>
      <c r="H53" s="7" cm="1">
        <f t="array" aca="1" ref="H53" ca="1">IFERROR(_xlfn.AGGREGATE(15,6,ROW(INDIRECT("'"&amp;$Q$3&amp;"'!"&amp;$Q$7&amp;"2:"&amp;$Q$7&amp;"1000"))/(INDIRECT("'"&amp;$Q$3&amp;"'!"&amp;$Q$7&amp;"2:"&amp;$Q$7&amp;"1000")&lt;&gt;INDIRECT("'"&amp;$Q$3&amp;"'!"&amp;$Q$7&amp;"1:"&amp;$Q$7&amp;"999")),17),"")</f>
        <v>149</v>
      </c>
      <c r="I53" s="7" t="str" cm="1">
        <f t="array" aca="1" ref="I53" ca="1">IF(H53="","",IF(INDIRECT("'"&amp;$Q$3&amp;"'!"&amp;$Q$7&amp;H53)=1,"ON","OFF"))</f>
        <v>OFF</v>
      </c>
      <c r="J53" s="7" t="e" cm="1">
        <f t="array" aca="1" ref="J53" ca="1">IF(H53="","",(INDIRECT("'"&amp;$Q$3&amp;"'!A"&amp;H53)-INDIRECT("'"&amp;$Q$3&amp;"'!A1"))*86400)</f>
        <v>#VALUE!</v>
      </c>
      <c r="K53" s="7" t="e">
        <f t="shared" ca="1" si="1"/>
        <v>#VALUE!</v>
      </c>
    </row>
    <row r="54" spans="1:11" x14ac:dyDescent="0.25">
      <c r="A54" s="7">
        <v>18</v>
      </c>
      <c r="B54" s="7" t="str" cm="1">
        <f t="array" aca="1" ref="B54" ca="1">IFERROR(_xlfn.AGGREGATE(15,6,ROW(INDIRECT("'"&amp;$Q$3&amp;"'!"&amp;$Q$6&amp;"2:"&amp;$Q$6&amp;"1000"))/(INDIRECT("'"&amp;$Q$3&amp;"'!"&amp;$Q$6&amp;"2:"&amp;$Q$6&amp;"1000")&lt;&gt;INDIRECT("'"&amp;$Q$3&amp;"'!"&amp;$Q$6&amp;"1:"&amp;$Q$6&amp;"999")),18),"")</f>
        <v/>
      </c>
      <c r="C54" s="7" t="str" cm="1">
        <f t="array" aca="1" ref="C54" ca="1">IF(B54="","",IF(INDIRECT("'"&amp;$Q$3&amp;"'!"&amp;$Q$6&amp;B54)=1,"ON","OFF"))</f>
        <v/>
      </c>
      <c r="D54" s="7" t="str" cm="1">
        <f t="array" aca="1" ref="D54" ca="1">IF(B54="","",(INDIRECT("'"&amp;$Q$3&amp;"'!A"&amp;B54)-INDIRECT("'"&amp;$Q$3&amp;"'!A1"))*86400)</f>
        <v/>
      </c>
      <c r="E54" s="7" t="str">
        <f t="shared" ca="1" si="0"/>
        <v/>
      </c>
      <c r="G54" s="7">
        <v>18</v>
      </c>
      <c r="H54" s="7" cm="1">
        <f t="array" aca="1" ref="H54" ca="1">IFERROR(_xlfn.AGGREGATE(15,6,ROW(INDIRECT("'"&amp;$Q$3&amp;"'!"&amp;$Q$7&amp;"2:"&amp;$Q$7&amp;"1000"))/(INDIRECT("'"&amp;$Q$3&amp;"'!"&amp;$Q$7&amp;"2:"&amp;$Q$7&amp;"1000")&lt;&gt;INDIRECT("'"&amp;$Q$3&amp;"'!"&amp;$Q$7&amp;"1:"&amp;$Q$7&amp;"999")),18),"")</f>
        <v>167</v>
      </c>
      <c r="I54" s="7" t="str" cm="1">
        <f t="array" aca="1" ref="I54" ca="1">IF(H54="","",IF(INDIRECT("'"&amp;$Q$3&amp;"'!"&amp;$Q$7&amp;H54)=1,"ON","OFF"))</f>
        <v>ON</v>
      </c>
      <c r="J54" s="7" t="e" cm="1">
        <f t="array" aca="1" ref="J54" ca="1">IF(H54="","",(INDIRECT("'"&amp;$Q$3&amp;"'!A"&amp;H54)-INDIRECT("'"&amp;$Q$3&amp;"'!A1"))*86400)</f>
        <v>#VALUE!</v>
      </c>
      <c r="K54" s="7" t="e">
        <f t="shared" ca="1" si="1"/>
        <v>#VALUE!</v>
      </c>
    </row>
    <row r="55" spans="1:11" x14ac:dyDescent="0.25">
      <c r="A55" s="7">
        <v>19</v>
      </c>
      <c r="B55" s="7" t="str" cm="1">
        <f t="array" aca="1" ref="B55" ca="1">IFERROR(_xlfn.AGGREGATE(15,6,ROW(INDIRECT("'"&amp;$Q$3&amp;"'!"&amp;$Q$6&amp;"2:"&amp;$Q$6&amp;"1000"))/(INDIRECT("'"&amp;$Q$3&amp;"'!"&amp;$Q$6&amp;"2:"&amp;$Q$6&amp;"1000")&lt;&gt;INDIRECT("'"&amp;$Q$3&amp;"'!"&amp;$Q$6&amp;"1:"&amp;$Q$6&amp;"999")),19),"")</f>
        <v/>
      </c>
      <c r="C55" s="7" t="str" cm="1">
        <f t="array" aca="1" ref="C55" ca="1">IF(B55="","",IF(INDIRECT("'"&amp;$Q$3&amp;"'!"&amp;$Q$6&amp;B55)=1,"ON","OFF"))</f>
        <v/>
      </c>
      <c r="D55" s="7" t="str" cm="1">
        <f t="array" aca="1" ref="D55" ca="1">IF(B55="","",(INDIRECT("'"&amp;$Q$3&amp;"'!A"&amp;B55)-INDIRECT("'"&amp;$Q$3&amp;"'!A1"))*86400)</f>
        <v/>
      </c>
      <c r="E55" s="7" t="str">
        <f t="shared" ca="1" si="0"/>
        <v/>
      </c>
      <c r="G55" s="7">
        <v>19</v>
      </c>
      <c r="H55" s="7" cm="1">
        <f t="array" aca="1" ref="H55" ca="1">IFERROR(_xlfn.AGGREGATE(15,6,ROW(INDIRECT("'"&amp;$Q$3&amp;"'!"&amp;$Q$7&amp;"2:"&amp;$Q$7&amp;"1000"))/(INDIRECT("'"&amp;$Q$3&amp;"'!"&amp;$Q$7&amp;"2:"&amp;$Q$7&amp;"1000")&lt;&gt;INDIRECT("'"&amp;$Q$3&amp;"'!"&amp;$Q$7&amp;"1:"&amp;$Q$7&amp;"999")),19),"")</f>
        <v>169</v>
      </c>
      <c r="I55" s="7" t="str" cm="1">
        <f t="array" aca="1" ref="I55" ca="1">IF(H55="","",IF(INDIRECT("'"&amp;$Q$3&amp;"'!"&amp;$Q$7&amp;H55)=1,"ON","OFF"))</f>
        <v>OFF</v>
      </c>
      <c r="J55" s="7" t="e" cm="1">
        <f t="array" aca="1" ref="J55" ca="1">IF(H55="","",(INDIRECT("'"&amp;$Q$3&amp;"'!A"&amp;H55)-INDIRECT("'"&amp;$Q$3&amp;"'!A1"))*86400)</f>
        <v>#VALUE!</v>
      </c>
      <c r="K55" s="7" t="e">
        <f t="shared" ca="1" si="1"/>
        <v>#VALUE!</v>
      </c>
    </row>
    <row r="56" spans="1:11" x14ac:dyDescent="0.25">
      <c r="A56" s="7">
        <v>20</v>
      </c>
      <c r="B56" s="7" t="str" cm="1">
        <f t="array" aca="1" ref="B56" ca="1">IFERROR(_xlfn.AGGREGATE(15,6,ROW(INDIRECT("'"&amp;$Q$3&amp;"'!"&amp;$Q$6&amp;"2:"&amp;$Q$6&amp;"1000"))/(INDIRECT("'"&amp;$Q$3&amp;"'!"&amp;$Q$6&amp;"2:"&amp;$Q$6&amp;"1000")&lt;&gt;INDIRECT("'"&amp;$Q$3&amp;"'!"&amp;$Q$6&amp;"1:"&amp;$Q$6&amp;"999")),20),"")</f>
        <v/>
      </c>
      <c r="C56" s="7" t="str" cm="1">
        <f t="array" aca="1" ref="C56" ca="1">IF(B56="","",IF(INDIRECT("'"&amp;$Q$3&amp;"'!"&amp;$Q$6&amp;B56)=1,"ON","OFF"))</f>
        <v/>
      </c>
      <c r="D56" s="7" t="str" cm="1">
        <f t="array" aca="1" ref="D56" ca="1">IF(B56="","",(INDIRECT("'"&amp;$Q$3&amp;"'!A"&amp;B56)-INDIRECT("'"&amp;$Q$3&amp;"'!A1"))*86400)</f>
        <v/>
      </c>
      <c r="E56" s="7" t="str">
        <f t="shared" ca="1" si="0"/>
        <v/>
      </c>
      <c r="G56" s="7">
        <v>20</v>
      </c>
      <c r="H56" s="7" cm="1">
        <f t="array" aca="1" ref="H56" ca="1">IFERROR(_xlfn.AGGREGATE(15,6,ROW(INDIRECT("'"&amp;$Q$3&amp;"'!"&amp;$Q$7&amp;"2:"&amp;$Q$7&amp;"1000"))/(INDIRECT("'"&amp;$Q$3&amp;"'!"&amp;$Q$7&amp;"2:"&amp;$Q$7&amp;"1000")&lt;&gt;INDIRECT("'"&amp;$Q$3&amp;"'!"&amp;$Q$7&amp;"1:"&amp;$Q$7&amp;"999")),20),"")</f>
        <v>187</v>
      </c>
      <c r="I56" s="7" t="str" cm="1">
        <f t="array" aca="1" ref="I56" ca="1">IF(H56="","",IF(INDIRECT("'"&amp;$Q$3&amp;"'!"&amp;$Q$7&amp;H56)=1,"ON","OFF"))</f>
        <v>ON</v>
      </c>
      <c r="J56" s="7" t="e" cm="1">
        <f t="array" aca="1" ref="J56" ca="1">IF(H56="","",(INDIRECT("'"&amp;$Q$3&amp;"'!A"&amp;H56)-INDIRECT("'"&amp;$Q$3&amp;"'!A1"))*86400)</f>
        <v>#VALUE!</v>
      </c>
      <c r="K56" s="7" t="e">
        <f t="shared" ca="1" si="1"/>
        <v>#VALUE!</v>
      </c>
    </row>
    <row r="57" spans="1:11" x14ac:dyDescent="0.25">
      <c r="A57" s="7">
        <v>21</v>
      </c>
      <c r="B57" s="7" t="str" cm="1">
        <f t="array" aca="1" ref="B57" ca="1">IFERROR(_xlfn.AGGREGATE(15,6,ROW(INDIRECT("'"&amp;$Q$3&amp;"'!"&amp;$Q$6&amp;"2:"&amp;$Q$6&amp;"1000"))/(INDIRECT("'"&amp;$Q$3&amp;"'!"&amp;$Q$6&amp;"2:"&amp;$Q$6&amp;"1000")&lt;&gt;INDIRECT("'"&amp;$Q$3&amp;"'!"&amp;$Q$6&amp;"1:"&amp;$Q$6&amp;"999")),21),"")</f>
        <v/>
      </c>
      <c r="C57" s="7" t="str" cm="1">
        <f t="array" aca="1" ref="C57" ca="1">IF(B57="","",IF(INDIRECT("'"&amp;$Q$3&amp;"'!"&amp;$Q$6&amp;B57)=1,"ON","OFF"))</f>
        <v/>
      </c>
      <c r="D57" s="7" t="str" cm="1">
        <f t="array" aca="1" ref="D57" ca="1">IF(B57="","",(INDIRECT("'"&amp;$Q$3&amp;"'!A"&amp;B57)-INDIRECT("'"&amp;$Q$3&amp;"'!A1"))*86400)</f>
        <v/>
      </c>
      <c r="E57" s="7" t="str">
        <f t="shared" ca="1" si="0"/>
        <v/>
      </c>
      <c r="G57" s="7">
        <v>21</v>
      </c>
      <c r="H57" s="7" cm="1">
        <f t="array" aca="1" ref="H57" ca="1">IFERROR(_xlfn.AGGREGATE(15,6,ROW(INDIRECT("'"&amp;$Q$3&amp;"'!"&amp;$Q$7&amp;"2:"&amp;$Q$7&amp;"1000"))/(INDIRECT("'"&amp;$Q$3&amp;"'!"&amp;$Q$7&amp;"2:"&amp;$Q$7&amp;"1000")&lt;&gt;INDIRECT("'"&amp;$Q$3&amp;"'!"&amp;$Q$7&amp;"1:"&amp;$Q$7&amp;"999")),21),"")</f>
        <v>189</v>
      </c>
      <c r="I57" s="7" t="str" cm="1">
        <f t="array" aca="1" ref="I57" ca="1">IF(H57="","",IF(INDIRECT("'"&amp;$Q$3&amp;"'!"&amp;$Q$7&amp;H57)=1,"ON","OFF"))</f>
        <v>OFF</v>
      </c>
      <c r="J57" s="7" t="e" cm="1">
        <f t="array" aca="1" ref="J57" ca="1">IF(H57="","",(INDIRECT("'"&amp;$Q$3&amp;"'!A"&amp;H57)-INDIRECT("'"&amp;$Q$3&amp;"'!A1"))*86400)</f>
        <v>#VALUE!</v>
      </c>
      <c r="K57" s="7" t="e">
        <f t="shared" ca="1" si="1"/>
        <v>#VALUE!</v>
      </c>
    </row>
    <row r="58" spans="1:11" x14ac:dyDescent="0.25">
      <c r="A58" s="7">
        <v>22</v>
      </c>
      <c r="B58" s="7" t="str" cm="1">
        <f t="array" aca="1" ref="B58" ca="1">IFERROR(_xlfn.AGGREGATE(15,6,ROW(INDIRECT("'"&amp;$Q$3&amp;"'!"&amp;$Q$6&amp;"2:"&amp;$Q$6&amp;"1000"))/(INDIRECT("'"&amp;$Q$3&amp;"'!"&amp;$Q$6&amp;"2:"&amp;$Q$6&amp;"1000")&lt;&gt;INDIRECT("'"&amp;$Q$3&amp;"'!"&amp;$Q$6&amp;"1:"&amp;$Q$6&amp;"999")),22),"")</f>
        <v/>
      </c>
      <c r="C58" s="7" t="str" cm="1">
        <f t="array" aca="1" ref="C58" ca="1">IF(B58="","",IF(INDIRECT("'"&amp;$Q$3&amp;"'!"&amp;$Q$6&amp;B58)=1,"ON","OFF"))</f>
        <v/>
      </c>
      <c r="D58" s="7" t="str" cm="1">
        <f t="array" aca="1" ref="D58" ca="1">IF(B58="","",(INDIRECT("'"&amp;$Q$3&amp;"'!A"&amp;B58)-INDIRECT("'"&amp;$Q$3&amp;"'!A1"))*86400)</f>
        <v/>
      </c>
      <c r="E58" s="7" t="str">
        <f t="shared" ca="1" si="0"/>
        <v/>
      </c>
      <c r="G58" s="7">
        <v>22</v>
      </c>
      <c r="H58" s="7" cm="1">
        <f t="array" aca="1" ref="H58" ca="1">IFERROR(_xlfn.AGGREGATE(15,6,ROW(INDIRECT("'"&amp;$Q$3&amp;"'!"&amp;$Q$7&amp;"2:"&amp;$Q$7&amp;"1000"))/(INDIRECT("'"&amp;$Q$3&amp;"'!"&amp;$Q$7&amp;"2:"&amp;$Q$7&amp;"1000")&lt;&gt;INDIRECT("'"&amp;$Q$3&amp;"'!"&amp;$Q$7&amp;"1:"&amp;$Q$7&amp;"999")),22),"")</f>
        <v>206</v>
      </c>
      <c r="I58" s="7" t="str" cm="1">
        <f t="array" aca="1" ref="I58" ca="1">IF(H58="","",IF(INDIRECT("'"&amp;$Q$3&amp;"'!"&amp;$Q$7&amp;H58)=1,"ON","OFF"))</f>
        <v>ON</v>
      </c>
      <c r="J58" s="7" t="e" cm="1">
        <f t="array" aca="1" ref="J58" ca="1">IF(H58="","",(INDIRECT("'"&amp;$Q$3&amp;"'!A"&amp;H58)-INDIRECT("'"&amp;$Q$3&amp;"'!A1"))*86400)</f>
        <v>#VALUE!</v>
      </c>
      <c r="K58" s="7" t="e">
        <f t="shared" ca="1" si="1"/>
        <v>#VALUE!</v>
      </c>
    </row>
    <row r="59" spans="1:11" x14ac:dyDescent="0.25">
      <c r="A59" s="7">
        <v>23</v>
      </c>
      <c r="B59" s="7" t="str" cm="1">
        <f t="array" aca="1" ref="B59" ca="1">IFERROR(_xlfn.AGGREGATE(15,6,ROW(INDIRECT("'"&amp;$Q$3&amp;"'!"&amp;$Q$6&amp;"2:"&amp;$Q$6&amp;"1000"))/(INDIRECT("'"&amp;$Q$3&amp;"'!"&amp;$Q$6&amp;"2:"&amp;$Q$6&amp;"1000")&lt;&gt;INDIRECT("'"&amp;$Q$3&amp;"'!"&amp;$Q$6&amp;"1:"&amp;$Q$6&amp;"999")),23),"")</f>
        <v/>
      </c>
      <c r="C59" s="7" t="str" cm="1">
        <f t="array" aca="1" ref="C59" ca="1">IF(B59="","",IF(INDIRECT("'"&amp;$Q$3&amp;"'!"&amp;$Q$6&amp;B59)=1,"ON","OFF"))</f>
        <v/>
      </c>
      <c r="D59" s="7" t="str" cm="1">
        <f t="array" aca="1" ref="D59" ca="1">IF(B59="","",(INDIRECT("'"&amp;$Q$3&amp;"'!A"&amp;B59)-INDIRECT("'"&amp;$Q$3&amp;"'!A1"))*86400)</f>
        <v/>
      </c>
      <c r="E59" s="7" t="str">
        <f t="shared" ca="1" si="0"/>
        <v/>
      </c>
      <c r="G59" s="7">
        <v>23</v>
      </c>
      <c r="H59" s="7" cm="1">
        <f t="array" aca="1" ref="H59" ca="1">IFERROR(_xlfn.AGGREGATE(15,6,ROW(INDIRECT("'"&amp;$Q$3&amp;"'!"&amp;$Q$7&amp;"2:"&amp;$Q$7&amp;"1000"))/(INDIRECT("'"&amp;$Q$3&amp;"'!"&amp;$Q$7&amp;"2:"&amp;$Q$7&amp;"1000")&lt;&gt;INDIRECT("'"&amp;$Q$3&amp;"'!"&amp;$Q$7&amp;"1:"&amp;$Q$7&amp;"999")),23),"")</f>
        <v>208</v>
      </c>
      <c r="I59" s="7" t="str" cm="1">
        <f t="array" aca="1" ref="I59" ca="1">IF(H59="","",IF(INDIRECT("'"&amp;$Q$3&amp;"'!"&amp;$Q$7&amp;H59)=1,"ON","OFF"))</f>
        <v>OFF</v>
      </c>
      <c r="J59" s="7" t="e" cm="1">
        <f t="array" aca="1" ref="J59" ca="1">IF(H59="","",(INDIRECT("'"&amp;$Q$3&amp;"'!A"&amp;H59)-INDIRECT("'"&amp;$Q$3&amp;"'!A1"))*86400)</f>
        <v>#VALUE!</v>
      </c>
      <c r="K59" s="7" t="e">
        <f t="shared" ca="1" si="1"/>
        <v>#VALUE!</v>
      </c>
    </row>
    <row r="60" spans="1:11" x14ac:dyDescent="0.25">
      <c r="A60" s="7">
        <v>24</v>
      </c>
      <c r="B60" s="7" t="str" cm="1">
        <f t="array" aca="1" ref="B60" ca="1">IFERROR(_xlfn.AGGREGATE(15,6,ROW(INDIRECT("'"&amp;$Q$3&amp;"'!"&amp;$Q$6&amp;"2:"&amp;$Q$6&amp;"1000"))/(INDIRECT("'"&amp;$Q$3&amp;"'!"&amp;$Q$6&amp;"2:"&amp;$Q$6&amp;"1000")&lt;&gt;INDIRECT("'"&amp;$Q$3&amp;"'!"&amp;$Q$6&amp;"1:"&amp;$Q$6&amp;"999")),24),"")</f>
        <v/>
      </c>
      <c r="C60" s="7" t="str" cm="1">
        <f t="array" aca="1" ref="C60" ca="1">IF(B60="","",IF(INDIRECT("'"&amp;$Q$3&amp;"'!"&amp;$Q$6&amp;B60)=1,"ON","OFF"))</f>
        <v/>
      </c>
      <c r="D60" s="7" t="str" cm="1">
        <f t="array" aca="1" ref="D60" ca="1">IF(B60="","",(INDIRECT("'"&amp;$Q$3&amp;"'!A"&amp;B60)-INDIRECT("'"&amp;$Q$3&amp;"'!A1"))*86400)</f>
        <v/>
      </c>
      <c r="E60" s="7" t="str">
        <f t="shared" ca="1" si="0"/>
        <v/>
      </c>
      <c r="G60" s="7">
        <v>24</v>
      </c>
      <c r="H60" s="7" cm="1">
        <f t="array" aca="1" ref="H60" ca="1">IFERROR(_xlfn.AGGREGATE(15,6,ROW(INDIRECT("'"&amp;$Q$3&amp;"'!"&amp;$Q$7&amp;"2:"&amp;$Q$7&amp;"1000"))/(INDIRECT("'"&amp;$Q$3&amp;"'!"&amp;$Q$7&amp;"2:"&amp;$Q$7&amp;"1000")&lt;&gt;INDIRECT("'"&amp;$Q$3&amp;"'!"&amp;$Q$7&amp;"1:"&amp;$Q$7&amp;"999")),24),"")</f>
        <v>226</v>
      </c>
      <c r="I60" s="7" t="str" cm="1">
        <f t="array" aca="1" ref="I60" ca="1">IF(H60="","",IF(INDIRECT("'"&amp;$Q$3&amp;"'!"&amp;$Q$7&amp;H60)=1,"ON","OFF"))</f>
        <v>ON</v>
      </c>
      <c r="J60" s="7" t="e" cm="1">
        <f t="array" aca="1" ref="J60" ca="1">IF(H60="","",(INDIRECT("'"&amp;$Q$3&amp;"'!A"&amp;H60)-INDIRECT("'"&amp;$Q$3&amp;"'!A1"))*86400)</f>
        <v>#VALUE!</v>
      </c>
      <c r="K60" s="7" t="e">
        <f t="shared" ca="1" si="1"/>
        <v>#VALUE!</v>
      </c>
    </row>
    <row r="61" spans="1:11" x14ac:dyDescent="0.25">
      <c r="A61" s="7">
        <v>25</v>
      </c>
      <c r="B61" s="7" t="str" cm="1">
        <f t="array" aca="1" ref="B61" ca="1">IFERROR(_xlfn.AGGREGATE(15,6,ROW(INDIRECT("'"&amp;$Q$3&amp;"'!"&amp;$Q$6&amp;"2:"&amp;$Q$6&amp;"1000"))/(INDIRECT("'"&amp;$Q$3&amp;"'!"&amp;$Q$6&amp;"2:"&amp;$Q$6&amp;"1000")&lt;&gt;INDIRECT("'"&amp;$Q$3&amp;"'!"&amp;$Q$6&amp;"1:"&amp;$Q$6&amp;"999")),25),"")</f>
        <v/>
      </c>
      <c r="C61" s="7" t="str" cm="1">
        <f t="array" aca="1" ref="C61" ca="1">IF(B61="","",IF(INDIRECT("'"&amp;$Q$3&amp;"'!"&amp;$Q$6&amp;B61)=1,"ON","OFF"))</f>
        <v/>
      </c>
      <c r="D61" s="7" t="str" cm="1">
        <f t="array" aca="1" ref="D61" ca="1">IF(B61="","",(INDIRECT("'"&amp;$Q$3&amp;"'!A"&amp;B61)-INDIRECT("'"&amp;$Q$3&amp;"'!A1"))*86400)</f>
        <v/>
      </c>
      <c r="E61" s="7" t="str">
        <f t="shared" ca="1" si="0"/>
        <v/>
      </c>
      <c r="G61" s="7">
        <v>25</v>
      </c>
      <c r="H61" s="7" cm="1">
        <f t="array" aca="1" ref="H61" ca="1">IFERROR(_xlfn.AGGREGATE(15,6,ROW(INDIRECT("'"&amp;$Q$3&amp;"'!"&amp;$Q$7&amp;"2:"&amp;$Q$7&amp;"1000"))/(INDIRECT("'"&amp;$Q$3&amp;"'!"&amp;$Q$7&amp;"2:"&amp;$Q$7&amp;"1000")&lt;&gt;INDIRECT("'"&amp;$Q$3&amp;"'!"&amp;$Q$7&amp;"1:"&amp;$Q$7&amp;"999")),25),"")</f>
        <v>228</v>
      </c>
      <c r="I61" s="7" t="str" cm="1">
        <f t="array" aca="1" ref="I61" ca="1">IF(H61="","",IF(INDIRECT("'"&amp;$Q$3&amp;"'!"&amp;$Q$7&amp;H61)=1,"ON","OFF"))</f>
        <v>OFF</v>
      </c>
      <c r="J61" s="7" t="e" cm="1">
        <f t="array" aca="1" ref="J61" ca="1">IF(H61="","",(INDIRECT("'"&amp;$Q$3&amp;"'!A"&amp;H61)-INDIRECT("'"&amp;$Q$3&amp;"'!A1"))*86400)</f>
        <v>#VALUE!</v>
      </c>
      <c r="K61" s="7" t="e">
        <f t="shared" ca="1" si="1"/>
        <v>#VALUE!</v>
      </c>
    </row>
    <row r="62" spans="1:11" x14ac:dyDescent="0.25">
      <c r="A62" s="7">
        <v>26</v>
      </c>
      <c r="B62" s="7" t="str" cm="1">
        <f t="array" aca="1" ref="B62" ca="1">IFERROR(_xlfn.AGGREGATE(15,6,ROW(INDIRECT("'"&amp;$Q$3&amp;"'!"&amp;$Q$6&amp;"2:"&amp;$Q$6&amp;"1000"))/(INDIRECT("'"&amp;$Q$3&amp;"'!"&amp;$Q$6&amp;"2:"&amp;$Q$6&amp;"1000")&lt;&gt;INDIRECT("'"&amp;$Q$3&amp;"'!"&amp;$Q$6&amp;"1:"&amp;$Q$6&amp;"999")),26),"")</f>
        <v/>
      </c>
      <c r="C62" s="7" t="str" cm="1">
        <f t="array" aca="1" ref="C62" ca="1">IF(B62="","",IF(INDIRECT("'"&amp;$Q$3&amp;"'!"&amp;$Q$6&amp;B62)=1,"ON","OFF"))</f>
        <v/>
      </c>
      <c r="D62" s="7" t="str" cm="1">
        <f t="array" aca="1" ref="D62" ca="1">IF(B62="","",(INDIRECT("'"&amp;$Q$3&amp;"'!A"&amp;B62)-INDIRECT("'"&amp;$Q$3&amp;"'!A1"))*86400)</f>
        <v/>
      </c>
      <c r="E62" s="7" t="str">
        <f t="shared" ca="1" si="0"/>
        <v/>
      </c>
      <c r="G62" s="7">
        <v>26</v>
      </c>
      <c r="H62" s="7" cm="1">
        <f t="array" aca="1" ref="H62" ca="1">IFERROR(_xlfn.AGGREGATE(15,6,ROW(INDIRECT("'"&amp;$Q$3&amp;"'!"&amp;$Q$7&amp;"2:"&amp;$Q$7&amp;"1000"))/(INDIRECT("'"&amp;$Q$3&amp;"'!"&amp;$Q$7&amp;"2:"&amp;$Q$7&amp;"1000")&lt;&gt;INDIRECT("'"&amp;$Q$3&amp;"'!"&amp;$Q$7&amp;"1:"&amp;$Q$7&amp;"999")),26),"")</f>
        <v>246</v>
      </c>
      <c r="I62" s="7" t="str" cm="1">
        <f t="array" aca="1" ref="I62" ca="1">IF(H62="","",IF(INDIRECT("'"&amp;$Q$3&amp;"'!"&amp;$Q$7&amp;H62)=1,"ON","OFF"))</f>
        <v>ON</v>
      </c>
      <c r="J62" s="7" t="e" cm="1">
        <f t="array" aca="1" ref="J62" ca="1">IF(H62="","",(INDIRECT("'"&amp;$Q$3&amp;"'!A"&amp;H62)-INDIRECT("'"&amp;$Q$3&amp;"'!A1"))*86400)</f>
        <v>#VALUE!</v>
      </c>
      <c r="K62" s="7" t="e">
        <f t="shared" ca="1" si="1"/>
        <v>#VALUE!</v>
      </c>
    </row>
    <row r="63" spans="1:11" x14ac:dyDescent="0.25">
      <c r="A63" s="7">
        <v>27</v>
      </c>
      <c r="B63" s="7" t="str" cm="1">
        <f t="array" aca="1" ref="B63" ca="1">IFERROR(_xlfn.AGGREGATE(15,6,ROW(INDIRECT("'"&amp;$Q$3&amp;"'!"&amp;$Q$6&amp;"2:"&amp;$Q$6&amp;"1000"))/(INDIRECT("'"&amp;$Q$3&amp;"'!"&amp;$Q$6&amp;"2:"&amp;$Q$6&amp;"1000")&lt;&gt;INDIRECT("'"&amp;$Q$3&amp;"'!"&amp;$Q$6&amp;"1:"&amp;$Q$6&amp;"999")),27),"")</f>
        <v/>
      </c>
      <c r="C63" s="7" t="str" cm="1">
        <f t="array" aca="1" ref="C63" ca="1">IF(B63="","",IF(INDIRECT("'"&amp;$Q$3&amp;"'!"&amp;$Q$6&amp;B63)=1,"ON","OFF"))</f>
        <v/>
      </c>
      <c r="D63" s="7" t="str" cm="1">
        <f t="array" aca="1" ref="D63" ca="1">IF(B63="","",(INDIRECT("'"&amp;$Q$3&amp;"'!A"&amp;B63)-INDIRECT("'"&amp;$Q$3&amp;"'!A1"))*86400)</f>
        <v/>
      </c>
      <c r="E63" s="7" t="str">
        <f t="shared" ca="1" si="0"/>
        <v/>
      </c>
      <c r="G63" s="7">
        <v>27</v>
      </c>
      <c r="H63" s="7" cm="1">
        <f t="array" aca="1" ref="H63" ca="1">IFERROR(_xlfn.AGGREGATE(15,6,ROW(INDIRECT("'"&amp;$Q$3&amp;"'!"&amp;$Q$7&amp;"2:"&amp;$Q$7&amp;"1000"))/(INDIRECT("'"&amp;$Q$3&amp;"'!"&amp;$Q$7&amp;"2:"&amp;$Q$7&amp;"1000")&lt;&gt;INDIRECT("'"&amp;$Q$3&amp;"'!"&amp;$Q$7&amp;"1:"&amp;$Q$7&amp;"999")),27),"")</f>
        <v>248</v>
      </c>
      <c r="I63" s="7" t="str" cm="1">
        <f t="array" aca="1" ref="I63" ca="1">IF(H63="","",IF(INDIRECT("'"&amp;$Q$3&amp;"'!"&amp;$Q$7&amp;H63)=1,"ON","OFF"))</f>
        <v>OFF</v>
      </c>
      <c r="J63" s="7" t="e" cm="1">
        <f t="array" aca="1" ref="J63" ca="1">IF(H63="","",(INDIRECT("'"&amp;$Q$3&amp;"'!A"&amp;H63)-INDIRECT("'"&amp;$Q$3&amp;"'!A1"))*86400)</f>
        <v>#VALUE!</v>
      </c>
      <c r="K63" s="7" t="e">
        <f t="shared" ca="1" si="1"/>
        <v>#VALUE!</v>
      </c>
    </row>
    <row r="64" spans="1:11" x14ac:dyDescent="0.25">
      <c r="A64" s="7">
        <v>28</v>
      </c>
      <c r="B64" s="7" t="str" cm="1">
        <f t="array" aca="1" ref="B64" ca="1">IFERROR(_xlfn.AGGREGATE(15,6,ROW(INDIRECT("'"&amp;$Q$3&amp;"'!"&amp;$Q$6&amp;"2:"&amp;$Q$6&amp;"1000"))/(INDIRECT("'"&amp;$Q$3&amp;"'!"&amp;$Q$6&amp;"2:"&amp;$Q$6&amp;"1000")&lt;&gt;INDIRECT("'"&amp;$Q$3&amp;"'!"&amp;$Q$6&amp;"1:"&amp;$Q$6&amp;"999")),28),"")</f>
        <v/>
      </c>
      <c r="C64" s="7" t="str" cm="1">
        <f t="array" aca="1" ref="C64" ca="1">IF(B64="","",IF(INDIRECT("'"&amp;$Q$3&amp;"'!"&amp;$Q$6&amp;B64)=1,"ON","OFF"))</f>
        <v/>
      </c>
      <c r="D64" s="7" t="str" cm="1">
        <f t="array" aca="1" ref="D64" ca="1">IF(B64="","",(INDIRECT("'"&amp;$Q$3&amp;"'!A"&amp;B64)-INDIRECT("'"&amp;$Q$3&amp;"'!A1"))*86400)</f>
        <v/>
      </c>
      <c r="E64" s="7" t="str">
        <f t="shared" ca="1" si="0"/>
        <v/>
      </c>
      <c r="G64" s="7">
        <v>28</v>
      </c>
      <c r="H64" s="7" cm="1">
        <f t="array" aca="1" ref="H64" ca="1">IFERROR(_xlfn.AGGREGATE(15,6,ROW(INDIRECT("'"&amp;$Q$3&amp;"'!"&amp;$Q$7&amp;"2:"&amp;$Q$7&amp;"1000"))/(INDIRECT("'"&amp;$Q$3&amp;"'!"&amp;$Q$7&amp;"2:"&amp;$Q$7&amp;"1000")&lt;&gt;INDIRECT("'"&amp;$Q$3&amp;"'!"&amp;$Q$7&amp;"1:"&amp;$Q$7&amp;"999")),28),"")</f>
        <v>266</v>
      </c>
      <c r="I64" s="7" t="str" cm="1">
        <f t="array" aca="1" ref="I64" ca="1">IF(H64="","",IF(INDIRECT("'"&amp;$Q$3&amp;"'!"&amp;$Q$7&amp;H64)=1,"ON","OFF"))</f>
        <v>ON</v>
      </c>
      <c r="J64" s="7" t="e" cm="1">
        <f t="array" aca="1" ref="J64" ca="1">IF(H64="","",(INDIRECT("'"&amp;$Q$3&amp;"'!A"&amp;H64)-INDIRECT("'"&amp;$Q$3&amp;"'!A1"))*86400)</f>
        <v>#VALUE!</v>
      </c>
      <c r="K64" s="7" t="e">
        <f t="shared" ca="1" si="1"/>
        <v>#VALUE!</v>
      </c>
    </row>
    <row r="65" spans="1:11" x14ac:dyDescent="0.25">
      <c r="A65" s="7">
        <v>29</v>
      </c>
      <c r="B65" s="7" t="str" cm="1">
        <f t="array" aca="1" ref="B65" ca="1">IFERROR(_xlfn.AGGREGATE(15,6,ROW(INDIRECT("'"&amp;$Q$3&amp;"'!"&amp;$Q$6&amp;"2:"&amp;$Q$6&amp;"1000"))/(INDIRECT("'"&amp;$Q$3&amp;"'!"&amp;$Q$6&amp;"2:"&amp;$Q$6&amp;"1000")&lt;&gt;INDIRECT("'"&amp;$Q$3&amp;"'!"&amp;$Q$6&amp;"1:"&amp;$Q$6&amp;"999")),29),"")</f>
        <v/>
      </c>
      <c r="C65" s="7" t="str" cm="1">
        <f t="array" aca="1" ref="C65" ca="1">IF(B65="","",IF(INDIRECT("'"&amp;$Q$3&amp;"'!"&amp;$Q$6&amp;B65)=1,"ON","OFF"))</f>
        <v/>
      </c>
      <c r="D65" s="7" t="str" cm="1">
        <f t="array" aca="1" ref="D65" ca="1">IF(B65="","",(INDIRECT("'"&amp;$Q$3&amp;"'!A"&amp;B65)-INDIRECT("'"&amp;$Q$3&amp;"'!A1"))*86400)</f>
        <v/>
      </c>
      <c r="E65" s="7" t="str">
        <f t="shared" ca="1" si="0"/>
        <v/>
      </c>
      <c r="G65" s="7">
        <v>29</v>
      </c>
      <c r="H65" s="7" cm="1">
        <f t="array" aca="1" ref="H65" ca="1">IFERROR(_xlfn.AGGREGATE(15,6,ROW(INDIRECT("'"&amp;$Q$3&amp;"'!"&amp;$Q$7&amp;"2:"&amp;$Q$7&amp;"1000"))/(INDIRECT("'"&amp;$Q$3&amp;"'!"&amp;$Q$7&amp;"2:"&amp;$Q$7&amp;"1000")&lt;&gt;INDIRECT("'"&amp;$Q$3&amp;"'!"&amp;$Q$7&amp;"1:"&amp;$Q$7&amp;"999")),29),"")</f>
        <v>268</v>
      </c>
      <c r="I65" s="7" t="str" cm="1">
        <f t="array" aca="1" ref="I65" ca="1">IF(H65="","",IF(INDIRECT("'"&amp;$Q$3&amp;"'!"&amp;$Q$7&amp;H65)=1,"ON","OFF"))</f>
        <v>OFF</v>
      </c>
      <c r="J65" s="7" t="e" cm="1">
        <f t="array" aca="1" ref="J65" ca="1">IF(H65="","",(INDIRECT("'"&amp;$Q$3&amp;"'!A"&amp;H65)-INDIRECT("'"&amp;$Q$3&amp;"'!A1"))*86400)</f>
        <v>#VALUE!</v>
      </c>
      <c r="K65" s="7" t="e">
        <f t="shared" ca="1" si="1"/>
        <v>#VALUE!</v>
      </c>
    </row>
    <row r="66" spans="1:11" x14ac:dyDescent="0.25">
      <c r="A66" s="7">
        <v>30</v>
      </c>
      <c r="B66" s="7" t="str" cm="1">
        <f t="array" aca="1" ref="B66" ca="1">IFERROR(_xlfn.AGGREGATE(15,6,ROW(INDIRECT("'"&amp;$Q$3&amp;"'!"&amp;$Q$6&amp;"2:"&amp;$Q$6&amp;"1000"))/(INDIRECT("'"&amp;$Q$3&amp;"'!"&amp;$Q$6&amp;"2:"&amp;$Q$6&amp;"1000")&lt;&gt;INDIRECT("'"&amp;$Q$3&amp;"'!"&amp;$Q$6&amp;"1:"&amp;$Q$6&amp;"999")),30),"")</f>
        <v/>
      </c>
      <c r="C66" s="7" t="str" cm="1">
        <f t="array" aca="1" ref="C66" ca="1">IF(B66="","",IF(INDIRECT("'"&amp;$Q$3&amp;"'!"&amp;$Q$6&amp;B66)=1,"ON","OFF"))</f>
        <v/>
      </c>
      <c r="D66" s="7" t="str" cm="1">
        <f t="array" aca="1" ref="D66" ca="1">IF(B66="","",(INDIRECT("'"&amp;$Q$3&amp;"'!A"&amp;B66)-INDIRECT("'"&amp;$Q$3&amp;"'!A1"))*86400)</f>
        <v/>
      </c>
      <c r="E66" s="7" t="str">
        <f t="shared" ca="1" si="0"/>
        <v/>
      </c>
      <c r="G66" s="7">
        <v>30</v>
      </c>
      <c r="H66" s="7" cm="1">
        <f t="array" aca="1" ref="H66" ca="1">IFERROR(_xlfn.AGGREGATE(15,6,ROW(INDIRECT("'"&amp;$Q$3&amp;"'!"&amp;$Q$7&amp;"2:"&amp;$Q$7&amp;"1000"))/(INDIRECT("'"&amp;$Q$3&amp;"'!"&amp;$Q$7&amp;"2:"&amp;$Q$7&amp;"1000")&lt;&gt;INDIRECT("'"&amp;$Q$3&amp;"'!"&amp;$Q$7&amp;"1:"&amp;$Q$7&amp;"999")),30),"")</f>
        <v>286</v>
      </c>
      <c r="I66" s="7" t="str" cm="1">
        <f t="array" aca="1" ref="I66" ca="1">IF(H66="","",IF(INDIRECT("'"&amp;$Q$3&amp;"'!"&amp;$Q$7&amp;H66)=1,"ON","OFF"))</f>
        <v>ON</v>
      </c>
      <c r="J66" s="7" t="e" cm="1">
        <f t="array" aca="1" ref="J66" ca="1">IF(H66="","",(INDIRECT("'"&amp;$Q$3&amp;"'!A"&amp;H66)-INDIRECT("'"&amp;$Q$3&amp;"'!A1"))*86400)</f>
        <v>#VALUE!</v>
      </c>
      <c r="K66" s="7" t="e">
        <f t="shared" ca="1" si="1"/>
        <v>#VALUE!</v>
      </c>
    </row>
    <row r="67" spans="1:11" x14ac:dyDescent="0.25">
      <c r="A67" s="7">
        <v>31</v>
      </c>
      <c r="B67" s="7" t="str" cm="1">
        <f t="array" aca="1" ref="B67" ca="1">IFERROR(_xlfn.AGGREGATE(15,6,ROW(INDIRECT("'"&amp;$Q$3&amp;"'!"&amp;$Q$6&amp;"2:"&amp;$Q$6&amp;"1000"))/(INDIRECT("'"&amp;$Q$3&amp;"'!"&amp;$Q$6&amp;"2:"&amp;$Q$6&amp;"1000")&lt;&gt;INDIRECT("'"&amp;$Q$3&amp;"'!"&amp;$Q$6&amp;"1:"&amp;$Q$6&amp;"999")),31),"")</f>
        <v/>
      </c>
      <c r="C67" s="7" t="str" cm="1">
        <f t="array" aca="1" ref="C67" ca="1">IF(B67="","",IF(INDIRECT("'"&amp;$Q$3&amp;"'!"&amp;$Q$6&amp;B67)=1,"ON","OFF"))</f>
        <v/>
      </c>
      <c r="D67" s="7" t="str" cm="1">
        <f t="array" aca="1" ref="D67" ca="1">IF(B67="","",(INDIRECT("'"&amp;$Q$3&amp;"'!A"&amp;B67)-INDIRECT("'"&amp;$Q$3&amp;"'!A1"))*86400)</f>
        <v/>
      </c>
      <c r="E67" s="7" t="str">
        <f t="shared" ca="1" si="0"/>
        <v/>
      </c>
      <c r="G67" s="7">
        <v>31</v>
      </c>
      <c r="H67" s="7" cm="1">
        <f t="array" aca="1" ref="H67" ca="1">IFERROR(_xlfn.AGGREGATE(15,6,ROW(INDIRECT("'"&amp;$Q$3&amp;"'!"&amp;$Q$7&amp;"2:"&amp;$Q$7&amp;"1000"))/(INDIRECT("'"&amp;$Q$3&amp;"'!"&amp;$Q$7&amp;"2:"&amp;$Q$7&amp;"1000")&lt;&gt;INDIRECT("'"&amp;$Q$3&amp;"'!"&amp;$Q$7&amp;"1:"&amp;$Q$7&amp;"999")),31),"")</f>
        <v>288</v>
      </c>
      <c r="I67" s="7" t="str" cm="1">
        <f t="array" aca="1" ref="I67" ca="1">IF(H67="","",IF(INDIRECT("'"&amp;$Q$3&amp;"'!"&amp;$Q$7&amp;H67)=1,"ON","OFF"))</f>
        <v>OFF</v>
      </c>
      <c r="J67" s="7" t="e" cm="1">
        <f t="array" aca="1" ref="J67" ca="1">IF(H67="","",(INDIRECT("'"&amp;$Q$3&amp;"'!A"&amp;H67)-INDIRECT("'"&amp;$Q$3&amp;"'!A1"))*86400)</f>
        <v>#VALUE!</v>
      </c>
      <c r="K67" s="7" t="e">
        <f t="shared" ca="1" si="1"/>
        <v>#VALUE!</v>
      </c>
    </row>
    <row r="68" spans="1:11" x14ac:dyDescent="0.25">
      <c r="A68" s="7">
        <v>32</v>
      </c>
      <c r="B68" s="7" t="str" cm="1">
        <f t="array" aca="1" ref="B68" ca="1">IFERROR(_xlfn.AGGREGATE(15,6,ROW(INDIRECT("'"&amp;$Q$3&amp;"'!"&amp;$Q$6&amp;"2:"&amp;$Q$6&amp;"1000"))/(INDIRECT("'"&amp;$Q$3&amp;"'!"&amp;$Q$6&amp;"2:"&amp;$Q$6&amp;"1000")&lt;&gt;INDIRECT("'"&amp;$Q$3&amp;"'!"&amp;$Q$6&amp;"1:"&amp;$Q$6&amp;"999")),32),"")</f>
        <v/>
      </c>
      <c r="C68" s="7" t="str" cm="1">
        <f t="array" aca="1" ref="C68" ca="1">IF(B68="","",IF(INDIRECT("'"&amp;$Q$3&amp;"'!"&amp;$Q$6&amp;B68)=1,"ON","OFF"))</f>
        <v/>
      </c>
      <c r="D68" s="7" t="str" cm="1">
        <f t="array" aca="1" ref="D68" ca="1">IF(B68="","",(INDIRECT("'"&amp;$Q$3&amp;"'!A"&amp;B68)-INDIRECT("'"&amp;$Q$3&amp;"'!A1"))*86400)</f>
        <v/>
      </c>
      <c r="E68" s="7" t="str">
        <f t="shared" ca="1" si="0"/>
        <v/>
      </c>
      <c r="G68" s="7">
        <v>32</v>
      </c>
      <c r="H68" s="7" cm="1">
        <f t="array" aca="1" ref="H68" ca="1">IFERROR(_xlfn.AGGREGATE(15,6,ROW(INDIRECT("'"&amp;$Q$3&amp;"'!"&amp;$Q$7&amp;"2:"&amp;$Q$7&amp;"1000"))/(INDIRECT("'"&amp;$Q$3&amp;"'!"&amp;$Q$7&amp;"2:"&amp;$Q$7&amp;"1000")&lt;&gt;INDIRECT("'"&amp;$Q$3&amp;"'!"&amp;$Q$7&amp;"1:"&amp;$Q$7&amp;"999")),32),"")</f>
        <v>305</v>
      </c>
      <c r="I68" s="7" t="str" cm="1">
        <f t="array" aca="1" ref="I68" ca="1">IF(H68="","",IF(INDIRECT("'"&amp;$Q$3&amp;"'!"&amp;$Q$7&amp;H68)=1,"ON","OFF"))</f>
        <v>ON</v>
      </c>
      <c r="J68" s="7" t="e" cm="1">
        <f t="array" aca="1" ref="J68" ca="1">IF(H68="","",(INDIRECT("'"&amp;$Q$3&amp;"'!A"&amp;H68)-INDIRECT("'"&amp;$Q$3&amp;"'!A1"))*86400)</f>
        <v>#VALUE!</v>
      </c>
      <c r="K68" s="7" t="e">
        <f t="shared" ca="1" si="1"/>
        <v>#VALUE!</v>
      </c>
    </row>
    <row r="69" spans="1:11" x14ac:dyDescent="0.25">
      <c r="A69" s="7">
        <v>33</v>
      </c>
      <c r="B69" s="7" t="str" cm="1">
        <f t="array" aca="1" ref="B69" ca="1">IFERROR(_xlfn.AGGREGATE(15,6,ROW(INDIRECT("'"&amp;$Q$3&amp;"'!"&amp;$Q$6&amp;"2:"&amp;$Q$6&amp;"1000"))/(INDIRECT("'"&amp;$Q$3&amp;"'!"&amp;$Q$6&amp;"2:"&amp;$Q$6&amp;"1000")&lt;&gt;INDIRECT("'"&amp;$Q$3&amp;"'!"&amp;$Q$6&amp;"1:"&amp;$Q$6&amp;"999")),33),"")</f>
        <v/>
      </c>
      <c r="C69" s="7" t="str" cm="1">
        <f t="array" aca="1" ref="C69" ca="1">IF(B69="","",IF(INDIRECT("'"&amp;$Q$3&amp;"'!"&amp;$Q$6&amp;B69)=1,"ON","OFF"))</f>
        <v/>
      </c>
      <c r="D69" s="7" t="str" cm="1">
        <f t="array" aca="1" ref="D69" ca="1">IF(B69="","",(INDIRECT("'"&amp;$Q$3&amp;"'!A"&amp;B69)-INDIRECT("'"&amp;$Q$3&amp;"'!A1"))*86400)</f>
        <v/>
      </c>
      <c r="E69" s="7" t="str">
        <f t="shared" ca="1" si="0"/>
        <v/>
      </c>
      <c r="G69" s="7">
        <v>33</v>
      </c>
      <c r="H69" s="7" cm="1">
        <f t="array" aca="1" ref="H69" ca="1">IFERROR(_xlfn.AGGREGATE(15,6,ROW(INDIRECT("'"&amp;$Q$3&amp;"'!"&amp;$Q$7&amp;"2:"&amp;$Q$7&amp;"1000"))/(INDIRECT("'"&amp;$Q$3&amp;"'!"&amp;$Q$7&amp;"2:"&amp;$Q$7&amp;"1000")&lt;&gt;INDIRECT("'"&amp;$Q$3&amp;"'!"&amp;$Q$7&amp;"1:"&amp;$Q$7&amp;"999")),33),"")</f>
        <v>307</v>
      </c>
      <c r="I69" s="7" t="str" cm="1">
        <f t="array" aca="1" ref="I69" ca="1">IF(H69="","",IF(INDIRECT("'"&amp;$Q$3&amp;"'!"&amp;$Q$7&amp;H69)=1,"ON","OFF"))</f>
        <v>OFF</v>
      </c>
      <c r="J69" s="7" t="e" cm="1">
        <f t="array" aca="1" ref="J69" ca="1">IF(H69="","",(INDIRECT("'"&amp;$Q$3&amp;"'!A"&amp;H69)-INDIRECT("'"&amp;$Q$3&amp;"'!A1"))*86400)</f>
        <v>#VALUE!</v>
      </c>
      <c r="K69" s="7" t="e">
        <f t="shared" ca="1" si="1"/>
        <v>#VALUE!</v>
      </c>
    </row>
    <row r="70" spans="1:11" x14ac:dyDescent="0.25">
      <c r="A70" s="7">
        <v>34</v>
      </c>
      <c r="B70" s="7" t="str" cm="1">
        <f t="array" aca="1" ref="B70" ca="1">IFERROR(_xlfn.AGGREGATE(15,6,ROW(INDIRECT("'"&amp;$Q$3&amp;"'!"&amp;$Q$6&amp;"2:"&amp;$Q$6&amp;"1000"))/(INDIRECT("'"&amp;$Q$3&amp;"'!"&amp;$Q$6&amp;"2:"&amp;$Q$6&amp;"1000")&lt;&gt;INDIRECT("'"&amp;$Q$3&amp;"'!"&amp;$Q$6&amp;"1:"&amp;$Q$6&amp;"999")),34),"")</f>
        <v/>
      </c>
      <c r="C70" s="7" t="str" cm="1">
        <f t="array" aca="1" ref="C70" ca="1">IF(B70="","",IF(INDIRECT("'"&amp;$Q$3&amp;"'!"&amp;$Q$6&amp;B70)=1,"ON","OFF"))</f>
        <v/>
      </c>
      <c r="D70" s="7" t="str" cm="1">
        <f t="array" aca="1" ref="D70" ca="1">IF(B70="","",(INDIRECT("'"&amp;$Q$3&amp;"'!A"&amp;B70)-INDIRECT("'"&amp;$Q$3&amp;"'!A1"))*86400)</f>
        <v/>
      </c>
      <c r="E70" s="7" t="str">
        <f t="shared" ca="1" si="0"/>
        <v/>
      </c>
      <c r="G70" s="7">
        <v>34</v>
      </c>
      <c r="H70" s="7" cm="1">
        <f t="array" aca="1" ref="H70" ca="1">IFERROR(_xlfn.AGGREGATE(15,6,ROW(INDIRECT("'"&amp;$Q$3&amp;"'!"&amp;$Q$7&amp;"2:"&amp;$Q$7&amp;"1000"))/(INDIRECT("'"&amp;$Q$3&amp;"'!"&amp;$Q$7&amp;"2:"&amp;$Q$7&amp;"1000")&lt;&gt;INDIRECT("'"&amp;$Q$3&amp;"'!"&amp;$Q$7&amp;"1:"&amp;$Q$7&amp;"999")),34),"")</f>
        <v>325</v>
      </c>
      <c r="I70" s="7" t="str" cm="1">
        <f t="array" aca="1" ref="I70" ca="1">IF(H70="","",IF(INDIRECT("'"&amp;$Q$3&amp;"'!"&amp;$Q$7&amp;H70)=1,"ON","OFF"))</f>
        <v>ON</v>
      </c>
      <c r="J70" s="7" t="e" cm="1">
        <f t="array" aca="1" ref="J70" ca="1">IF(H70="","",(INDIRECT("'"&amp;$Q$3&amp;"'!A"&amp;H70)-INDIRECT("'"&amp;$Q$3&amp;"'!A1"))*86400)</f>
        <v>#VALUE!</v>
      </c>
      <c r="K70" s="7" t="e">
        <f t="shared" ca="1" si="1"/>
        <v>#VALUE!</v>
      </c>
    </row>
    <row r="71" spans="1:11" x14ac:dyDescent="0.25">
      <c r="A71" s="7">
        <v>35</v>
      </c>
      <c r="B71" s="7" t="str" cm="1">
        <f t="array" aca="1" ref="B71" ca="1">IFERROR(_xlfn.AGGREGATE(15,6,ROW(INDIRECT("'"&amp;$Q$3&amp;"'!"&amp;$Q$6&amp;"2:"&amp;$Q$6&amp;"1000"))/(INDIRECT("'"&amp;$Q$3&amp;"'!"&amp;$Q$6&amp;"2:"&amp;$Q$6&amp;"1000")&lt;&gt;INDIRECT("'"&amp;$Q$3&amp;"'!"&amp;$Q$6&amp;"1:"&amp;$Q$6&amp;"999")),35),"")</f>
        <v/>
      </c>
      <c r="C71" s="7" t="str" cm="1">
        <f t="array" aca="1" ref="C71" ca="1">IF(B71="","",IF(INDIRECT("'"&amp;$Q$3&amp;"'!"&amp;$Q$6&amp;B71)=1,"ON","OFF"))</f>
        <v/>
      </c>
      <c r="D71" s="7" t="str" cm="1">
        <f t="array" aca="1" ref="D71" ca="1">IF(B71="","",(INDIRECT("'"&amp;$Q$3&amp;"'!A"&amp;B71)-INDIRECT("'"&amp;$Q$3&amp;"'!A1"))*86400)</f>
        <v/>
      </c>
      <c r="E71" s="7" t="str">
        <f t="shared" ca="1" si="0"/>
        <v/>
      </c>
      <c r="G71" s="7">
        <v>35</v>
      </c>
      <c r="H71" s="7" cm="1">
        <f t="array" aca="1" ref="H71" ca="1">IFERROR(_xlfn.AGGREGATE(15,6,ROW(INDIRECT("'"&amp;$Q$3&amp;"'!"&amp;$Q$7&amp;"2:"&amp;$Q$7&amp;"1000"))/(INDIRECT("'"&amp;$Q$3&amp;"'!"&amp;$Q$7&amp;"2:"&amp;$Q$7&amp;"1000")&lt;&gt;INDIRECT("'"&amp;$Q$3&amp;"'!"&amp;$Q$7&amp;"1:"&amp;$Q$7&amp;"999")),35),"")</f>
        <v>327</v>
      </c>
      <c r="I71" s="7" t="str" cm="1">
        <f t="array" aca="1" ref="I71" ca="1">IF(H71="","",IF(INDIRECT("'"&amp;$Q$3&amp;"'!"&amp;$Q$7&amp;H71)=1,"ON","OFF"))</f>
        <v>OFF</v>
      </c>
      <c r="J71" s="7" t="e" cm="1">
        <f t="array" aca="1" ref="J71" ca="1">IF(H71="","",(INDIRECT("'"&amp;$Q$3&amp;"'!A"&amp;H71)-INDIRECT("'"&amp;$Q$3&amp;"'!A1"))*86400)</f>
        <v>#VALUE!</v>
      </c>
      <c r="K71" s="7" t="e">
        <f t="shared" ca="1" si="1"/>
        <v>#VALUE!</v>
      </c>
    </row>
    <row r="72" spans="1:11" x14ac:dyDescent="0.25">
      <c r="A72" s="7">
        <v>36</v>
      </c>
      <c r="B72" s="7" t="str" cm="1">
        <f t="array" aca="1" ref="B72" ca="1">IFERROR(_xlfn.AGGREGATE(15,6,ROW(INDIRECT("'"&amp;$Q$3&amp;"'!"&amp;$Q$6&amp;"2:"&amp;$Q$6&amp;"1000"))/(INDIRECT("'"&amp;$Q$3&amp;"'!"&amp;$Q$6&amp;"2:"&amp;$Q$6&amp;"1000")&lt;&gt;INDIRECT("'"&amp;$Q$3&amp;"'!"&amp;$Q$6&amp;"1:"&amp;$Q$6&amp;"999")),36),"")</f>
        <v/>
      </c>
      <c r="C72" s="7" t="str" cm="1">
        <f t="array" aca="1" ref="C72" ca="1">IF(B72="","",IF(INDIRECT("'"&amp;$Q$3&amp;"'!"&amp;$Q$6&amp;B72)=1,"ON","OFF"))</f>
        <v/>
      </c>
      <c r="D72" s="7" t="str" cm="1">
        <f t="array" aca="1" ref="D72" ca="1">IF(B72="","",(INDIRECT("'"&amp;$Q$3&amp;"'!A"&amp;B72)-INDIRECT("'"&amp;$Q$3&amp;"'!A1"))*86400)</f>
        <v/>
      </c>
      <c r="E72" s="7" t="str">
        <f t="shared" ca="1" si="0"/>
        <v/>
      </c>
      <c r="G72" s="7">
        <v>36</v>
      </c>
      <c r="H72" s="7" cm="1">
        <f t="array" aca="1" ref="H72" ca="1">IFERROR(_xlfn.AGGREGATE(15,6,ROW(INDIRECT("'"&amp;$Q$3&amp;"'!"&amp;$Q$7&amp;"2:"&amp;$Q$7&amp;"1000"))/(INDIRECT("'"&amp;$Q$3&amp;"'!"&amp;$Q$7&amp;"2:"&amp;$Q$7&amp;"1000")&lt;&gt;INDIRECT("'"&amp;$Q$3&amp;"'!"&amp;$Q$7&amp;"1:"&amp;$Q$7&amp;"999")),36),"")</f>
        <v>345</v>
      </c>
      <c r="I72" s="7" t="str" cm="1">
        <f t="array" aca="1" ref="I72" ca="1">IF(H72="","",IF(INDIRECT("'"&amp;$Q$3&amp;"'!"&amp;$Q$7&amp;H72)=1,"ON","OFF"))</f>
        <v>ON</v>
      </c>
      <c r="J72" s="7" t="e" cm="1">
        <f t="array" aca="1" ref="J72" ca="1">IF(H72="","",(INDIRECT("'"&amp;$Q$3&amp;"'!A"&amp;H72)-INDIRECT("'"&amp;$Q$3&amp;"'!A1"))*86400)</f>
        <v>#VALUE!</v>
      </c>
      <c r="K72" s="7" t="e">
        <f t="shared" ca="1" si="1"/>
        <v>#VALUE!</v>
      </c>
    </row>
    <row r="73" spans="1:11" x14ac:dyDescent="0.25">
      <c r="A73" s="7">
        <v>37</v>
      </c>
      <c r="B73" s="7" t="str" cm="1">
        <f t="array" aca="1" ref="B73" ca="1">IFERROR(_xlfn.AGGREGATE(15,6,ROW(INDIRECT("'"&amp;$Q$3&amp;"'!"&amp;$Q$6&amp;"2:"&amp;$Q$6&amp;"1000"))/(INDIRECT("'"&amp;$Q$3&amp;"'!"&amp;$Q$6&amp;"2:"&amp;$Q$6&amp;"1000")&lt;&gt;INDIRECT("'"&amp;$Q$3&amp;"'!"&amp;$Q$6&amp;"1:"&amp;$Q$6&amp;"999")),37),"")</f>
        <v/>
      </c>
      <c r="C73" s="7" t="str" cm="1">
        <f t="array" aca="1" ref="C73" ca="1">IF(B73="","",IF(INDIRECT("'"&amp;$Q$3&amp;"'!"&amp;$Q$6&amp;B73)=1,"ON","OFF"))</f>
        <v/>
      </c>
      <c r="D73" s="7" t="str" cm="1">
        <f t="array" aca="1" ref="D73" ca="1">IF(B73="","",(INDIRECT("'"&amp;$Q$3&amp;"'!A"&amp;B73)-INDIRECT("'"&amp;$Q$3&amp;"'!A1"))*86400)</f>
        <v/>
      </c>
      <c r="E73" s="7" t="str">
        <f t="shared" ca="1" si="0"/>
        <v/>
      </c>
      <c r="G73" s="7">
        <v>37</v>
      </c>
      <c r="H73" s="7" cm="1">
        <f t="array" aca="1" ref="H73" ca="1">IFERROR(_xlfn.AGGREGATE(15,6,ROW(INDIRECT("'"&amp;$Q$3&amp;"'!"&amp;$Q$7&amp;"2:"&amp;$Q$7&amp;"1000"))/(INDIRECT("'"&amp;$Q$3&amp;"'!"&amp;$Q$7&amp;"2:"&amp;$Q$7&amp;"1000")&lt;&gt;INDIRECT("'"&amp;$Q$3&amp;"'!"&amp;$Q$7&amp;"1:"&amp;$Q$7&amp;"999")),37),"")</f>
        <v>347</v>
      </c>
      <c r="I73" s="7" t="str" cm="1">
        <f t="array" aca="1" ref="I73" ca="1">IF(H73="","",IF(INDIRECT("'"&amp;$Q$3&amp;"'!"&amp;$Q$7&amp;H73)=1,"ON","OFF"))</f>
        <v>OFF</v>
      </c>
      <c r="J73" s="7" t="e" cm="1">
        <f t="array" aca="1" ref="J73" ca="1">IF(H73="","",(INDIRECT("'"&amp;$Q$3&amp;"'!A"&amp;H73)-INDIRECT("'"&amp;$Q$3&amp;"'!A1"))*86400)</f>
        <v>#VALUE!</v>
      </c>
      <c r="K73" s="7" t="e">
        <f t="shared" ca="1" si="1"/>
        <v>#VALUE!</v>
      </c>
    </row>
    <row r="74" spans="1:11" x14ac:dyDescent="0.25">
      <c r="A74" s="7">
        <v>38</v>
      </c>
      <c r="B74" s="7" t="str" cm="1">
        <f t="array" aca="1" ref="B74" ca="1">IFERROR(_xlfn.AGGREGATE(15,6,ROW(INDIRECT("'"&amp;$Q$3&amp;"'!"&amp;$Q$6&amp;"2:"&amp;$Q$6&amp;"1000"))/(INDIRECT("'"&amp;$Q$3&amp;"'!"&amp;$Q$6&amp;"2:"&amp;$Q$6&amp;"1000")&lt;&gt;INDIRECT("'"&amp;$Q$3&amp;"'!"&amp;$Q$6&amp;"1:"&amp;$Q$6&amp;"999")),38),"")</f>
        <v/>
      </c>
      <c r="C74" s="7" t="str" cm="1">
        <f t="array" aca="1" ref="C74" ca="1">IF(B74="","",IF(INDIRECT("'"&amp;$Q$3&amp;"'!"&amp;$Q$6&amp;B74)=1,"ON","OFF"))</f>
        <v/>
      </c>
      <c r="D74" s="7" t="str" cm="1">
        <f t="array" aca="1" ref="D74" ca="1">IF(B74="","",(INDIRECT("'"&amp;$Q$3&amp;"'!A"&amp;B74)-INDIRECT("'"&amp;$Q$3&amp;"'!A1"))*86400)</f>
        <v/>
      </c>
      <c r="E74" s="7" t="str">
        <f t="shared" ca="1" si="0"/>
        <v/>
      </c>
      <c r="G74" s="7">
        <v>38</v>
      </c>
      <c r="H74" s="7" cm="1">
        <f t="array" aca="1" ref="H74" ca="1">IFERROR(_xlfn.AGGREGATE(15,6,ROW(INDIRECT("'"&amp;$Q$3&amp;"'!"&amp;$Q$7&amp;"2:"&amp;$Q$7&amp;"1000"))/(INDIRECT("'"&amp;$Q$3&amp;"'!"&amp;$Q$7&amp;"2:"&amp;$Q$7&amp;"1000")&lt;&gt;INDIRECT("'"&amp;$Q$3&amp;"'!"&amp;$Q$7&amp;"1:"&amp;$Q$7&amp;"999")),38),"")</f>
        <v>365</v>
      </c>
      <c r="I74" s="7" t="str" cm="1">
        <f t="array" aca="1" ref="I74" ca="1">IF(H74="","",IF(INDIRECT("'"&amp;$Q$3&amp;"'!"&amp;$Q$7&amp;H74)=1,"ON","OFF"))</f>
        <v>ON</v>
      </c>
      <c r="J74" s="7" t="e" cm="1">
        <f t="array" aca="1" ref="J74" ca="1">IF(H74="","",(INDIRECT("'"&amp;$Q$3&amp;"'!A"&amp;H74)-INDIRECT("'"&amp;$Q$3&amp;"'!A1"))*86400)</f>
        <v>#VALUE!</v>
      </c>
      <c r="K74" s="7" t="e">
        <f t="shared" ca="1" si="1"/>
        <v>#VALUE!</v>
      </c>
    </row>
    <row r="75" spans="1:11" x14ac:dyDescent="0.25">
      <c r="A75" s="7">
        <v>39</v>
      </c>
      <c r="B75" s="7" t="str" cm="1">
        <f t="array" aca="1" ref="B75" ca="1">IFERROR(_xlfn.AGGREGATE(15,6,ROW(INDIRECT("'"&amp;$Q$3&amp;"'!"&amp;$Q$6&amp;"2:"&amp;$Q$6&amp;"1000"))/(INDIRECT("'"&amp;$Q$3&amp;"'!"&amp;$Q$6&amp;"2:"&amp;$Q$6&amp;"1000")&lt;&gt;INDIRECT("'"&amp;$Q$3&amp;"'!"&amp;$Q$6&amp;"1:"&amp;$Q$6&amp;"999")),39),"")</f>
        <v/>
      </c>
      <c r="C75" s="7" t="str" cm="1">
        <f t="array" aca="1" ref="C75" ca="1">IF(B75="","",IF(INDIRECT("'"&amp;$Q$3&amp;"'!"&amp;$Q$6&amp;B75)=1,"ON","OFF"))</f>
        <v/>
      </c>
      <c r="D75" s="7" t="str" cm="1">
        <f t="array" aca="1" ref="D75" ca="1">IF(B75="","",(INDIRECT("'"&amp;$Q$3&amp;"'!A"&amp;B75)-INDIRECT("'"&amp;$Q$3&amp;"'!A1"))*86400)</f>
        <v/>
      </c>
      <c r="E75" s="7" t="str">
        <f t="shared" ca="1" si="0"/>
        <v/>
      </c>
      <c r="G75" s="7">
        <v>39</v>
      </c>
      <c r="H75" s="7" cm="1">
        <f t="array" aca="1" ref="H75" ca="1">IFERROR(_xlfn.AGGREGATE(15,6,ROW(INDIRECT("'"&amp;$Q$3&amp;"'!"&amp;$Q$7&amp;"2:"&amp;$Q$7&amp;"1000"))/(INDIRECT("'"&amp;$Q$3&amp;"'!"&amp;$Q$7&amp;"2:"&amp;$Q$7&amp;"1000")&lt;&gt;INDIRECT("'"&amp;$Q$3&amp;"'!"&amp;$Q$7&amp;"1:"&amp;$Q$7&amp;"999")),39),"")</f>
        <v>367</v>
      </c>
      <c r="I75" s="7" t="str" cm="1">
        <f t="array" aca="1" ref="I75" ca="1">IF(H75="","",IF(INDIRECT("'"&amp;$Q$3&amp;"'!"&amp;$Q$7&amp;H75)=1,"ON","OFF"))</f>
        <v>OFF</v>
      </c>
      <c r="J75" s="7" t="e" cm="1">
        <f t="array" aca="1" ref="J75" ca="1">IF(H75="","",(INDIRECT("'"&amp;$Q$3&amp;"'!A"&amp;H75)-INDIRECT("'"&amp;$Q$3&amp;"'!A1"))*86400)</f>
        <v>#VALUE!</v>
      </c>
      <c r="K75" s="7" t="e">
        <f t="shared" ca="1" si="1"/>
        <v>#VALUE!</v>
      </c>
    </row>
    <row r="76" spans="1:11" x14ac:dyDescent="0.25">
      <c r="A76" s="7">
        <v>40</v>
      </c>
      <c r="B76" s="7" t="str" cm="1">
        <f t="array" aca="1" ref="B76" ca="1">IFERROR(_xlfn.AGGREGATE(15,6,ROW(INDIRECT("'"&amp;$Q$3&amp;"'!"&amp;$Q$6&amp;"2:"&amp;$Q$6&amp;"1000"))/(INDIRECT("'"&amp;$Q$3&amp;"'!"&amp;$Q$6&amp;"2:"&amp;$Q$6&amp;"1000")&lt;&gt;INDIRECT("'"&amp;$Q$3&amp;"'!"&amp;$Q$6&amp;"1:"&amp;$Q$6&amp;"999")),40),"")</f>
        <v/>
      </c>
      <c r="C76" s="7" t="str" cm="1">
        <f t="array" aca="1" ref="C76" ca="1">IF(B76="","",IF(INDIRECT("'"&amp;$Q$3&amp;"'!"&amp;$Q$6&amp;B76)=1,"ON","OFF"))</f>
        <v/>
      </c>
      <c r="D76" s="7" t="str" cm="1">
        <f t="array" aca="1" ref="D76" ca="1">IF(B76="","",(INDIRECT("'"&amp;$Q$3&amp;"'!A"&amp;B76)-INDIRECT("'"&amp;$Q$3&amp;"'!A1"))*86400)</f>
        <v/>
      </c>
      <c r="E76" s="7" t="str">
        <f t="shared" ca="1" si="0"/>
        <v/>
      </c>
      <c r="G76" s="7">
        <v>40</v>
      </c>
      <c r="H76" s="7" cm="1">
        <f t="array" aca="1" ref="H76" ca="1">IFERROR(_xlfn.AGGREGATE(15,6,ROW(INDIRECT("'"&amp;$Q$3&amp;"'!"&amp;$Q$7&amp;"2:"&amp;$Q$7&amp;"1000"))/(INDIRECT("'"&amp;$Q$3&amp;"'!"&amp;$Q$7&amp;"2:"&amp;$Q$7&amp;"1000")&lt;&gt;INDIRECT("'"&amp;$Q$3&amp;"'!"&amp;$Q$7&amp;"1:"&amp;$Q$7&amp;"999")),40),"")</f>
        <v>385</v>
      </c>
      <c r="I76" s="7" t="str" cm="1">
        <f t="array" aca="1" ref="I76" ca="1">IF(H76="","",IF(INDIRECT("'"&amp;$Q$3&amp;"'!"&amp;$Q$7&amp;H76)=1,"ON","OFF"))</f>
        <v>ON</v>
      </c>
      <c r="J76" s="7" t="e" cm="1">
        <f t="array" aca="1" ref="J76" ca="1">IF(H76="","",(INDIRECT("'"&amp;$Q$3&amp;"'!A"&amp;H76)-INDIRECT("'"&amp;$Q$3&amp;"'!A1"))*86400)</f>
        <v>#VALUE!</v>
      </c>
      <c r="K76" s="7" t="str">
        <f t="shared" ca="1" si="1"/>
        <v/>
      </c>
    </row>
    <row r="77" spans="1:11" x14ac:dyDescent="0.25">
      <c r="H77" s="7"/>
    </row>
    <row r="78" spans="1:11" x14ac:dyDescent="0.25">
      <c r="H78" s="7"/>
    </row>
  </sheetData>
  <mergeCells count="21">
    <mergeCell ref="A24:D24"/>
    <mergeCell ref="G24:K24"/>
    <mergeCell ref="A1:E1"/>
    <mergeCell ref="G1:K1"/>
    <mergeCell ref="P1:S1"/>
    <mergeCell ref="A3:D3"/>
    <mergeCell ref="G3:J3"/>
    <mergeCell ref="Q3:S3"/>
    <mergeCell ref="P9:S10"/>
    <mergeCell ref="U9:AF9"/>
    <mergeCell ref="A14:E14"/>
    <mergeCell ref="G14:K14"/>
    <mergeCell ref="P18:S18"/>
    <mergeCell ref="A35:E35"/>
    <mergeCell ref="G35:K35"/>
    <mergeCell ref="P28:S28"/>
    <mergeCell ref="P29:S29"/>
    <mergeCell ref="P30:S30"/>
    <mergeCell ref="P31:S31"/>
    <mergeCell ref="P32:S32"/>
    <mergeCell ref="P33:S33"/>
  </mergeCells>
  <conditionalFormatting sqref="C37:C76">
    <cfRule type="expression" dxfId="11" priority="1">
      <formula>C37="ON"</formula>
    </cfRule>
    <cfRule type="expression" dxfId="10" priority="2">
      <formula>C37="OFF"</formula>
    </cfRule>
  </conditionalFormatting>
  <conditionalFormatting sqref="I37:I76">
    <cfRule type="expression" dxfId="9" priority="3">
      <formula>I37="ON"</formula>
    </cfRule>
    <cfRule type="expression" dxfId="8" priority="4">
      <formula>I37="OFF"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6EAA6-C99D-470C-A1D4-5769362ADE57}">
  <dimension ref="A1:N200"/>
  <sheetViews>
    <sheetView zoomScale="85" zoomScaleNormal="85" workbookViewId="0">
      <selection activeCell="N11" sqref="N11"/>
    </sheetView>
  </sheetViews>
  <sheetFormatPr defaultRowHeight="15" x14ac:dyDescent="0.25"/>
  <cols>
    <col min="1" max="1" width="41.85546875" customWidth="1"/>
    <col min="2" max="2" width="19" customWidth="1"/>
    <col min="3" max="3" width="34.28515625" customWidth="1"/>
    <col min="5" max="5" width="20.42578125" customWidth="1"/>
    <col min="6" max="6" width="9.5703125" bestFit="1" customWidth="1"/>
    <col min="7" max="7" width="9.7109375" bestFit="1" customWidth="1"/>
    <col min="8" max="8" width="8.28515625" bestFit="1" customWidth="1"/>
    <col min="9" max="9" width="17.140625" customWidth="1"/>
    <col min="11" max="11" width="24.42578125" customWidth="1"/>
  </cols>
  <sheetData>
    <row r="1" spans="1:14" ht="18.75" x14ac:dyDescent="0.3">
      <c r="A1" s="137" t="s">
        <v>6</v>
      </c>
      <c r="B1" s="138"/>
      <c r="C1" s="138"/>
      <c r="D1" s="138"/>
      <c r="E1" s="138"/>
      <c r="F1" s="138"/>
      <c r="K1" s="139" t="s">
        <v>54</v>
      </c>
      <c r="L1" s="114"/>
      <c r="M1" s="114"/>
      <c r="N1" s="114"/>
    </row>
    <row r="3" spans="1:14" x14ac:dyDescent="0.25">
      <c r="A3" s="140" t="s">
        <v>7</v>
      </c>
      <c r="B3" s="141"/>
      <c r="C3" s="141"/>
      <c r="E3" s="142" t="s">
        <v>19</v>
      </c>
      <c r="F3" s="142"/>
      <c r="G3" s="142"/>
      <c r="H3" s="142"/>
      <c r="I3" s="142"/>
      <c r="K3" s="2" t="s">
        <v>55</v>
      </c>
      <c r="L3" s="143" t="s">
        <v>56</v>
      </c>
      <c r="M3" s="114"/>
      <c r="N3" s="114"/>
    </row>
    <row r="4" spans="1:14" x14ac:dyDescent="0.25">
      <c r="A4" s="15" t="s">
        <v>8</v>
      </c>
      <c r="B4" s="15" t="s">
        <v>9</v>
      </c>
      <c r="C4" s="15" t="s">
        <v>10</v>
      </c>
      <c r="E4" s="5" t="s">
        <v>3</v>
      </c>
      <c r="F4" s="5" t="s">
        <v>0</v>
      </c>
      <c r="G4" s="5" t="s">
        <v>4</v>
      </c>
      <c r="H4" s="5" t="s">
        <v>20</v>
      </c>
      <c r="I4" s="14" t="s">
        <v>53</v>
      </c>
    </row>
    <row r="5" spans="1:14" x14ac:dyDescent="0.25">
      <c r="A5" s="13" t="s">
        <v>11</v>
      </c>
      <c r="B5" s="16">
        <f ca="1">COUNTA(INDIRECT("'"&amp;$L$3&amp;"'!A:A"))</f>
        <v>1</v>
      </c>
      <c r="C5" s="11" t="s">
        <v>41</v>
      </c>
      <c r="E5" t="str">
        <f t="shared" ref="E5:E68" si="0">IF(F5&lt;&gt;"",ROW()-4,"")</f>
        <v/>
      </c>
      <c r="F5" t="str" cm="1">
        <f t="array" ref="F5">IFERROR(_xlfn._xlws.FILTER(#REF!,#REF!&lt;&gt;""),"")</f>
        <v/>
      </c>
      <c r="G5" t="str" cm="1">
        <f t="array" ref="G5">IFERROR(_xlfn._xlws.FILTER(#REF!,#REF!&lt;&gt;""),"")</f>
        <v/>
      </c>
      <c r="H5" s="6" t="str" cm="1">
        <f t="array" ref="H5">IFERROR(_xlfn._xlws.FILTER(#REF!,#REF!&lt;&gt;""),"")</f>
        <v/>
      </c>
      <c r="I5" s="4" t="str">
        <f>IFERROR(INDEX(#REF!,MATCH(F5,#REF!,0)),"")</f>
        <v/>
      </c>
      <c r="K5" t="s">
        <v>57</v>
      </c>
      <c r="L5" s="22" t="s">
        <v>58</v>
      </c>
    </row>
    <row r="6" spans="1:14" x14ac:dyDescent="0.25">
      <c r="A6" s="13" t="s">
        <v>12</v>
      </c>
      <c r="B6" s="16" t="e">
        <f ca="1">COUNTIF(INDIRECT("'"&amp;$L$3&amp;"'!E:E"),1)</f>
        <v>#REF!</v>
      </c>
      <c r="C6" s="11" t="s">
        <v>41</v>
      </c>
      <c r="E6" t="str">
        <f t="shared" si="0"/>
        <v/>
      </c>
      <c r="H6" s="6"/>
      <c r="I6" s="4" t="str">
        <f>IFERROR(INDEX(#REF!,MATCH(F6,#REF!,0)),"")</f>
        <v/>
      </c>
      <c r="K6" t="s">
        <v>59</v>
      </c>
      <c r="L6" s="22" t="s">
        <v>60</v>
      </c>
    </row>
    <row r="7" spans="1:14" x14ac:dyDescent="0.25">
      <c r="A7" s="13" t="s">
        <v>13</v>
      </c>
      <c r="B7" s="16" t="e">
        <f ca="1">COUNTIF(INDIRECT("'"&amp;$L$3&amp;"'!E:E"),0)</f>
        <v>#REF!</v>
      </c>
      <c r="C7" s="11" t="s">
        <v>41</v>
      </c>
      <c r="E7" t="str">
        <f t="shared" si="0"/>
        <v/>
      </c>
      <c r="H7" s="6"/>
      <c r="I7" s="4" t="str">
        <f>IFERROR(INDEX(#REF!,MATCH(F7,#REF!,0)),"")</f>
        <v/>
      </c>
    </row>
    <row r="8" spans="1:14" x14ac:dyDescent="0.25">
      <c r="A8" s="13" t="s">
        <v>14</v>
      </c>
      <c r="B8" s="17">
        <f ca="1">IFERROR(ROUND(B6/B5*100,2),0)</f>
        <v>0</v>
      </c>
      <c r="C8" s="11" t="s">
        <v>30</v>
      </c>
      <c r="E8" t="str">
        <f t="shared" si="0"/>
        <v/>
      </c>
      <c r="H8" s="6"/>
      <c r="I8" s="4" t="str">
        <f>IFERROR(INDEX(#REF!,MATCH(F8,#REF!,0)),"")</f>
        <v/>
      </c>
      <c r="K8" s="144" t="s">
        <v>61</v>
      </c>
      <c r="L8" s="114"/>
      <c r="M8" s="114"/>
      <c r="N8" s="114"/>
    </row>
    <row r="9" spans="1:14" x14ac:dyDescent="0.25">
      <c r="A9" s="13" t="s">
        <v>15</v>
      </c>
      <c r="B9" s="17" t="e" cm="1">
        <f t="array" aca="1" ref="B9" ca="1">SUMPRODUCT(--(INDIRECT("'"&amp;$L$3&amp;"'!E2:E"&amp;B5)=1),--(INDIRECT("'"&amp;$L$3&amp;"'!E1:E"&amp;(B5-1))=0))</f>
        <v>#REF!</v>
      </c>
      <c r="C9" s="11" t="s">
        <v>42</v>
      </c>
      <c r="E9" t="str">
        <f t="shared" si="0"/>
        <v/>
      </c>
      <c r="H9" s="6"/>
      <c r="I9" s="4" t="str">
        <f>IFERROR(INDEX(#REF!,MATCH(F9,#REF!,0)),"")</f>
        <v/>
      </c>
    </row>
    <row r="10" spans="1:14" x14ac:dyDescent="0.25">
      <c r="A10" s="13" t="s">
        <v>16</v>
      </c>
      <c r="B10" s="17" t="e" cm="1">
        <f t="array" aca="1" ref="B10" ca="1">SUMPRODUCT(--(INDIRECT("'"&amp;$L$3&amp;"'!E2:E"&amp;B5)=0),--(INDIRECT("'"&amp;$L$3&amp;"'!E1:E"&amp;(B5-1))=1))</f>
        <v>#REF!</v>
      </c>
      <c r="C10" s="11" t="s">
        <v>42</v>
      </c>
      <c r="E10" t="str">
        <f t="shared" si="0"/>
        <v/>
      </c>
      <c r="H10" s="6"/>
      <c r="I10" s="4" t="str">
        <f>IFERROR(INDEX(#REF!,MATCH(F10,#REF!,0)),"")</f>
        <v/>
      </c>
      <c r="K10" t="s">
        <v>66</v>
      </c>
      <c r="L10">
        <f ca="1">IFERROR(B13/(B5-1),0)</f>
        <v>0</v>
      </c>
    </row>
    <row r="11" spans="1:14" x14ac:dyDescent="0.25">
      <c r="A11" s="13" t="s">
        <v>17</v>
      </c>
      <c r="B11" s="17" t="e">
        <f ca="1">B9+B10</f>
        <v>#REF!</v>
      </c>
      <c r="C11" s="11" t="s">
        <v>42</v>
      </c>
      <c r="E11" t="str">
        <f t="shared" si="0"/>
        <v/>
      </c>
      <c r="H11" s="6"/>
      <c r="I11" s="4" t="str">
        <f>IFERROR(INDEX(#REF!,MATCH(F11,#REF!,0)),"")</f>
        <v/>
      </c>
    </row>
    <row r="12" spans="1:14" x14ac:dyDescent="0.25">
      <c r="A12" s="13" t="s">
        <v>18</v>
      </c>
      <c r="B12" s="17">
        <f ca="1">IFERROR(ROUND(B6/B9,2),0)</f>
        <v>0</v>
      </c>
      <c r="C12" s="11" t="s">
        <v>41</v>
      </c>
      <c r="E12" t="str">
        <f t="shared" si="0"/>
        <v/>
      </c>
      <c r="H12" s="6"/>
      <c r="I12" s="4" t="str">
        <f>IFERROR(INDEX(#REF!,MATCH(F12,#REF!,0)),"")</f>
        <v/>
      </c>
      <c r="K12" t="s">
        <v>75</v>
      </c>
      <c r="L12">
        <f ca="1">B5</f>
        <v>1</v>
      </c>
    </row>
    <row r="13" spans="1:14" x14ac:dyDescent="0.25">
      <c r="A13" s="13" t="s">
        <v>21</v>
      </c>
      <c r="B13" s="12" cm="1">
        <f t="array" aca="1" ref="B13" ca="1">IFERROR((INDIRECT("'"&amp;$L$3&amp;"'!A"&amp;COUNTA(INDIRECT("'"&amp;$L$3&amp;"'!A:A")))-INDIRECT("'"&amp;$L$3&amp;"'!A1"))*86400,0)</f>
        <v>0</v>
      </c>
      <c r="C13" s="11" t="s">
        <v>43</v>
      </c>
      <c r="E13" t="str">
        <f t="shared" si="0"/>
        <v/>
      </c>
      <c r="H13" s="6"/>
      <c r="I13" s="4" t="str">
        <f>IFERROR(INDEX(#REF!,MATCH(F13,#REF!,0)),"")</f>
        <v/>
      </c>
      <c r="K13" t="s">
        <v>76</v>
      </c>
      <c r="L13">
        <f ca="1">IFERROR(ROUND(1/$L$10,2),0)</f>
        <v>0</v>
      </c>
    </row>
    <row r="14" spans="1:14" x14ac:dyDescent="0.25">
      <c r="E14" t="str">
        <f t="shared" si="0"/>
        <v/>
      </c>
      <c r="H14" s="6"/>
      <c r="I14" s="4" t="str">
        <f>IFERROR(INDEX(#REF!,MATCH(F14,#REF!,0)),"")</f>
        <v/>
      </c>
    </row>
    <row r="15" spans="1:14" x14ac:dyDescent="0.25">
      <c r="A15" s="132" t="s">
        <v>22</v>
      </c>
      <c r="B15" s="133"/>
      <c r="C15" s="133"/>
      <c r="E15" t="str">
        <f t="shared" si="0"/>
        <v/>
      </c>
      <c r="H15" s="6"/>
      <c r="I15" s="4" t="str">
        <f>IFERROR(INDEX(#REF!,MATCH(F15,#REF!,0)),"")</f>
        <v/>
      </c>
      <c r="K15" s="134" t="s">
        <v>77</v>
      </c>
      <c r="L15" s="114"/>
      <c r="M15" s="114"/>
      <c r="N15" s="114"/>
    </row>
    <row r="16" spans="1:14" x14ac:dyDescent="0.25">
      <c r="A16" s="13" t="s">
        <v>8</v>
      </c>
      <c r="B16" s="13" t="s">
        <v>23</v>
      </c>
      <c r="C16" s="13" t="s">
        <v>5</v>
      </c>
      <c r="E16" t="str">
        <f t="shared" si="0"/>
        <v/>
      </c>
      <c r="H16" s="6"/>
      <c r="I16" s="4" t="str">
        <f>IFERROR(INDEX(#REF!,MATCH(F16,#REF!,0)),"")</f>
        <v/>
      </c>
      <c r="K16" s="24" t="s">
        <v>39</v>
      </c>
      <c r="L16" s="24" t="s">
        <v>78</v>
      </c>
      <c r="M16" s="24" t="s">
        <v>79</v>
      </c>
      <c r="N16" s="24" t="s">
        <v>9</v>
      </c>
    </row>
    <row r="17" spans="1:14" x14ac:dyDescent="0.25">
      <c r="A17" s="13" t="s">
        <v>24</v>
      </c>
      <c r="B17" s="18">
        <v>100</v>
      </c>
      <c r="C17" s="7" t="s">
        <v>44</v>
      </c>
      <c r="E17" t="str">
        <f t="shared" si="0"/>
        <v/>
      </c>
      <c r="H17" s="6"/>
      <c r="I17" s="4" t="str">
        <f>IFERROR(INDEX(#REF!,MATCH(F17,#REF!,0)),"")</f>
        <v/>
      </c>
      <c r="K17" t="s">
        <v>80</v>
      </c>
      <c r="L17" t="s">
        <v>81</v>
      </c>
      <c r="M17" t="s">
        <v>82</v>
      </c>
      <c r="N17" t="s">
        <v>83</v>
      </c>
    </row>
    <row r="18" spans="1:14" x14ac:dyDescent="0.25">
      <c r="A18" s="13" t="s">
        <v>25</v>
      </c>
      <c r="B18" s="18">
        <v>6</v>
      </c>
      <c r="C18" s="7" t="s">
        <v>26</v>
      </c>
      <c r="E18" t="str">
        <f t="shared" si="0"/>
        <v/>
      </c>
      <c r="H18" s="6"/>
      <c r="I18" s="4" t="str">
        <f>IFERROR(INDEX(#REF!,MATCH(F18,#REF!,0)),"")</f>
        <v/>
      </c>
      <c r="K18" t="s">
        <v>84</v>
      </c>
      <c r="L18" t="s">
        <v>81</v>
      </c>
      <c r="M18" t="s">
        <v>85</v>
      </c>
      <c r="N18" t="s">
        <v>86</v>
      </c>
    </row>
    <row r="19" spans="1:14" x14ac:dyDescent="0.25">
      <c r="A19" s="13" t="s">
        <v>34</v>
      </c>
      <c r="B19" s="19">
        <v>1</v>
      </c>
      <c r="C19" s="7" t="s">
        <v>26</v>
      </c>
      <c r="E19" t="str">
        <f t="shared" si="0"/>
        <v/>
      </c>
      <c r="H19" s="6"/>
      <c r="I19" s="4" t="str">
        <f>IFERROR(INDEX(#REF!,MATCH(F19,#REF!,0)),"")</f>
        <v/>
      </c>
      <c r="K19" t="s">
        <v>87</v>
      </c>
      <c r="L19" t="s">
        <v>88</v>
      </c>
      <c r="M19" t="s">
        <v>82</v>
      </c>
      <c r="N19" t="s">
        <v>89</v>
      </c>
    </row>
    <row r="20" spans="1:14" x14ac:dyDescent="0.25">
      <c r="A20" s="13" t="s">
        <v>31</v>
      </c>
      <c r="B20" s="8">
        <f ca="1">B13</f>
        <v>0</v>
      </c>
      <c r="C20" s="7" t="s">
        <v>43</v>
      </c>
      <c r="E20" t="str">
        <f t="shared" si="0"/>
        <v/>
      </c>
      <c r="H20" s="6"/>
      <c r="I20" s="4" t="str">
        <f>IFERROR(INDEX(#REF!,MATCH(F20,#REF!,0)),"")</f>
        <v/>
      </c>
      <c r="K20" t="s">
        <v>90</v>
      </c>
      <c r="L20" t="s">
        <v>91</v>
      </c>
      <c r="M20" t="s">
        <v>92</v>
      </c>
      <c r="N20" t="s">
        <v>93</v>
      </c>
    </row>
    <row r="21" spans="1:14" x14ac:dyDescent="0.25">
      <c r="A21" s="13" t="s">
        <v>27</v>
      </c>
      <c r="B21" s="8">
        <f ca="1">IFERROR(ROUND(B20*B17/60,2),0)</f>
        <v>0</v>
      </c>
      <c r="C21" s="7" t="s">
        <v>45</v>
      </c>
      <c r="E21" t="str">
        <f t="shared" si="0"/>
        <v/>
      </c>
      <c r="H21" s="6"/>
      <c r="I21" s="4" t="str">
        <f>IFERROR(INDEX(#REF!,MATCH(F21,#REF!,0)),"")</f>
        <v/>
      </c>
      <c r="K21" t="s">
        <v>94</v>
      </c>
      <c r="L21" t="s">
        <v>91</v>
      </c>
      <c r="M21" t="s">
        <v>85</v>
      </c>
      <c r="N21" t="s">
        <v>95</v>
      </c>
    </row>
    <row r="22" spans="1:14" x14ac:dyDescent="0.25">
      <c r="A22" s="13" t="s">
        <v>37</v>
      </c>
      <c r="B22" s="8">
        <f ca="1">IFERROR(ROUND(B21*B18,0),0)</f>
        <v>0</v>
      </c>
      <c r="C22" s="7" t="s">
        <v>46</v>
      </c>
      <c r="E22" t="str">
        <f t="shared" si="0"/>
        <v/>
      </c>
      <c r="H22" s="6"/>
      <c r="I22" s="4" t="str">
        <f>IFERROR(INDEX(#REF!,MATCH(F22,#REF!,0)),"")</f>
        <v/>
      </c>
      <c r="K22" t="s">
        <v>96</v>
      </c>
      <c r="L22" t="s">
        <v>97</v>
      </c>
      <c r="M22" t="s">
        <v>92</v>
      </c>
      <c r="N22" t="s">
        <v>98</v>
      </c>
    </row>
    <row r="23" spans="1:14" x14ac:dyDescent="0.25">
      <c r="A23" s="20" t="s">
        <v>38</v>
      </c>
      <c r="B23" s="17">
        <f ca="1">IFERROR(ROUND(B22*(B19/B18),0),0)</f>
        <v>0</v>
      </c>
      <c r="C23" s="10" t="s">
        <v>33</v>
      </c>
      <c r="E23" t="str">
        <f t="shared" si="0"/>
        <v/>
      </c>
      <c r="H23" s="6"/>
      <c r="I23" s="4" t="str">
        <f>IFERROR(INDEX(#REF!,MATCH(F23,#REF!,0)),"")</f>
        <v/>
      </c>
    </row>
    <row r="24" spans="1:14" x14ac:dyDescent="0.25">
      <c r="E24" t="str">
        <f t="shared" si="0"/>
        <v/>
      </c>
      <c r="H24" s="6"/>
      <c r="I24" s="4" t="str">
        <f>IFERROR(INDEX(#REF!,MATCH(F24,#REF!,0)),"")</f>
        <v/>
      </c>
      <c r="K24" s="135" t="s">
        <v>99</v>
      </c>
      <c r="L24" s="114"/>
      <c r="M24" s="114"/>
      <c r="N24" s="114"/>
    </row>
    <row r="25" spans="1:14" x14ac:dyDescent="0.25">
      <c r="A25" s="132" t="s">
        <v>28</v>
      </c>
      <c r="B25" s="133"/>
      <c r="C25" s="133"/>
      <c r="E25" t="str">
        <f t="shared" si="0"/>
        <v/>
      </c>
      <c r="H25" s="6"/>
      <c r="I25" s="4" t="str">
        <f>IFERROR(INDEX(#REF!,MATCH(F25,#REF!,0)),"")</f>
        <v/>
      </c>
      <c r="K25" s="136" t="s">
        <v>100</v>
      </c>
      <c r="L25" s="114"/>
      <c r="M25" s="114"/>
      <c r="N25" s="114"/>
    </row>
    <row r="26" spans="1:14" x14ac:dyDescent="0.25">
      <c r="A26" s="13" t="s">
        <v>8</v>
      </c>
      <c r="B26" s="13" t="s">
        <v>23</v>
      </c>
      <c r="C26" s="13" t="s">
        <v>5</v>
      </c>
      <c r="E26" t="str">
        <f t="shared" si="0"/>
        <v/>
      </c>
      <c r="H26" s="6"/>
      <c r="I26" s="4" t="str">
        <f>IFERROR(INDEX(#REF!,MATCH(F26,#REF!,0)),"")</f>
        <v/>
      </c>
      <c r="K26" s="136"/>
      <c r="L26" s="114"/>
      <c r="M26" s="114"/>
      <c r="N26" s="114"/>
    </row>
    <row r="27" spans="1:14" x14ac:dyDescent="0.25">
      <c r="A27" s="7" t="s">
        <v>29</v>
      </c>
      <c r="B27" s="8" t="e">
        <f ca="1">B9</f>
        <v>#REF!</v>
      </c>
      <c r="C27" s="7" t="s">
        <v>33</v>
      </c>
      <c r="E27" t="str">
        <f t="shared" si="0"/>
        <v/>
      </c>
      <c r="H27" s="6"/>
      <c r="I27" s="4" t="str">
        <f>IFERROR(INDEX(#REF!,MATCH(F27,#REF!,0)),"")</f>
        <v/>
      </c>
      <c r="K27" s="136"/>
      <c r="L27" s="114"/>
      <c r="M27" s="114"/>
      <c r="N27" s="114"/>
    </row>
    <row r="28" spans="1:14" x14ac:dyDescent="0.25">
      <c r="A28" s="7" t="s">
        <v>35</v>
      </c>
      <c r="B28" s="8">
        <f ca="1">B23</f>
        <v>0</v>
      </c>
      <c r="C28" s="7" t="s">
        <v>33</v>
      </c>
      <c r="E28" t="str">
        <f t="shared" si="0"/>
        <v/>
      </c>
      <c r="H28" s="6"/>
      <c r="I28" s="4" t="str">
        <f>IFERROR(INDEX(#REF!,MATCH(F28,#REF!,0)),"")</f>
        <v/>
      </c>
      <c r="K28" s="136"/>
      <c r="L28" s="114"/>
      <c r="M28" s="114"/>
      <c r="N28" s="114"/>
    </row>
    <row r="29" spans="1:14" x14ac:dyDescent="0.25">
      <c r="A29" s="7" t="s">
        <v>32</v>
      </c>
      <c r="B29" s="8" t="e">
        <f ca="1">B27-B28</f>
        <v>#REF!</v>
      </c>
      <c r="C29" s="7" t="s">
        <v>33</v>
      </c>
      <c r="E29" t="str">
        <f t="shared" si="0"/>
        <v/>
      </c>
      <c r="H29" s="6"/>
      <c r="I29" s="4" t="str">
        <f>IFERROR(INDEX(#REF!,MATCH(F29,#REF!,0)),"")</f>
        <v/>
      </c>
      <c r="K29" s="136"/>
      <c r="L29" s="114"/>
      <c r="M29" s="114"/>
      <c r="N29" s="114"/>
    </row>
    <row r="30" spans="1:14" x14ac:dyDescent="0.25">
      <c r="A30" s="7" t="s">
        <v>14</v>
      </c>
      <c r="B30" s="8">
        <f ca="1">B8</f>
        <v>0</v>
      </c>
      <c r="C30" s="7" t="s">
        <v>30</v>
      </c>
      <c r="E30" t="str">
        <f t="shared" si="0"/>
        <v/>
      </c>
      <c r="H30" s="6"/>
      <c r="I30" s="4" t="str">
        <f>IFERROR(INDEX(#REF!,MATCH(F30,#REF!,0)),"")</f>
        <v/>
      </c>
    </row>
    <row r="31" spans="1:14" ht="18.75" x14ac:dyDescent="0.3">
      <c r="A31" s="9" t="s">
        <v>36</v>
      </c>
      <c r="B31" s="21">
        <f ca="1">IFERROR(ROUND(MIN(B27,B28)/MAX(B27,B28)*100,2),0)</f>
        <v>0</v>
      </c>
      <c r="C31" s="9" t="s">
        <v>30</v>
      </c>
      <c r="E31" t="str">
        <f t="shared" si="0"/>
        <v/>
      </c>
      <c r="H31" s="6"/>
      <c r="I31" s="4" t="str">
        <f>IFERROR(INDEX(#REF!,MATCH(F31,#REF!,0)),"")</f>
        <v/>
      </c>
    </row>
    <row r="32" spans="1:14" x14ac:dyDescent="0.25">
      <c r="E32" t="str">
        <f t="shared" si="0"/>
        <v/>
      </c>
      <c r="H32" s="6"/>
      <c r="I32" s="4" t="str">
        <f>IFERROR(INDEX(#REF!,MATCH(F32,#REF!,0)),"")</f>
        <v/>
      </c>
    </row>
    <row r="33" spans="5:9" x14ac:dyDescent="0.25">
      <c r="E33" t="str">
        <f t="shared" si="0"/>
        <v/>
      </c>
      <c r="H33" s="6"/>
      <c r="I33" s="4" t="str">
        <f>IFERROR(INDEX(#REF!,MATCH(F53,#REF!,0)),"")</f>
        <v/>
      </c>
    </row>
    <row r="34" spans="5:9" x14ac:dyDescent="0.25">
      <c r="E34" t="str">
        <f t="shared" si="0"/>
        <v/>
      </c>
      <c r="H34" s="6"/>
      <c r="I34" s="4" t="str">
        <f>IFERROR(INDEX(#REF!,MATCH(F54,#REF!,0)),"")</f>
        <v/>
      </c>
    </row>
    <row r="35" spans="5:9" x14ac:dyDescent="0.25">
      <c r="E35" t="str">
        <f t="shared" si="0"/>
        <v/>
      </c>
      <c r="H35" s="6"/>
      <c r="I35" s="4" t="str">
        <f>IFERROR(INDEX(#REF!,MATCH(F55,#REF!,0)),"")</f>
        <v/>
      </c>
    </row>
    <row r="36" spans="5:9" x14ac:dyDescent="0.25">
      <c r="E36" t="str">
        <f t="shared" si="0"/>
        <v/>
      </c>
      <c r="H36" s="6"/>
      <c r="I36" s="4" t="str">
        <f>IFERROR(INDEX(#REF!,MATCH(F56,#REF!,0)),"")</f>
        <v/>
      </c>
    </row>
    <row r="37" spans="5:9" x14ac:dyDescent="0.25">
      <c r="E37" t="str">
        <f t="shared" si="0"/>
        <v/>
      </c>
      <c r="H37" s="6"/>
      <c r="I37" s="4" t="str">
        <f>IFERROR(INDEX(#REF!,MATCH(F57,#REF!,0)),"")</f>
        <v/>
      </c>
    </row>
    <row r="38" spans="5:9" x14ac:dyDescent="0.25">
      <c r="E38" t="str">
        <f t="shared" si="0"/>
        <v/>
      </c>
      <c r="H38" s="6"/>
      <c r="I38" s="4" t="str">
        <f>IFERROR(INDEX(#REF!,MATCH(F58,#REF!,0)),"")</f>
        <v/>
      </c>
    </row>
    <row r="39" spans="5:9" x14ac:dyDescent="0.25">
      <c r="E39" t="str">
        <f t="shared" si="0"/>
        <v/>
      </c>
      <c r="H39" s="6"/>
    </row>
    <row r="40" spans="5:9" x14ac:dyDescent="0.25">
      <c r="E40" t="str">
        <f t="shared" si="0"/>
        <v/>
      </c>
      <c r="H40" s="6"/>
    </row>
    <row r="41" spans="5:9" x14ac:dyDescent="0.25">
      <c r="E41" t="str">
        <f t="shared" si="0"/>
        <v/>
      </c>
      <c r="H41" s="6"/>
    </row>
    <row r="42" spans="5:9" x14ac:dyDescent="0.25">
      <c r="E42" t="str">
        <f t="shared" si="0"/>
        <v/>
      </c>
      <c r="H42" s="6"/>
    </row>
    <row r="43" spans="5:9" x14ac:dyDescent="0.25">
      <c r="E43" t="str">
        <f t="shared" si="0"/>
        <v/>
      </c>
      <c r="H43" s="6"/>
    </row>
    <row r="44" spans="5:9" x14ac:dyDescent="0.25">
      <c r="E44" t="str">
        <f t="shared" si="0"/>
        <v/>
      </c>
      <c r="H44" s="6"/>
    </row>
    <row r="45" spans="5:9" x14ac:dyDescent="0.25">
      <c r="E45" t="str">
        <f t="shared" si="0"/>
        <v/>
      </c>
      <c r="H45" s="6"/>
    </row>
    <row r="46" spans="5:9" x14ac:dyDescent="0.25">
      <c r="E46" t="str">
        <f t="shared" si="0"/>
        <v/>
      </c>
      <c r="H46" s="6"/>
    </row>
    <row r="47" spans="5:9" x14ac:dyDescent="0.25">
      <c r="E47" t="str">
        <f t="shared" si="0"/>
        <v/>
      </c>
      <c r="H47" s="6"/>
    </row>
    <row r="48" spans="5:9" x14ac:dyDescent="0.25">
      <c r="E48" t="str">
        <f t="shared" si="0"/>
        <v/>
      </c>
      <c r="H48" s="6"/>
    </row>
    <row r="49" spans="1:8" x14ac:dyDescent="0.25">
      <c r="E49" t="str">
        <f t="shared" si="0"/>
        <v/>
      </c>
      <c r="H49" s="6"/>
    </row>
    <row r="50" spans="1:8" x14ac:dyDescent="0.25">
      <c r="E50" t="str">
        <f t="shared" si="0"/>
        <v/>
      </c>
      <c r="H50" s="6"/>
    </row>
    <row r="51" spans="1:8" x14ac:dyDescent="0.25">
      <c r="E51" t="str">
        <f t="shared" si="0"/>
        <v/>
      </c>
      <c r="H51" s="6"/>
    </row>
    <row r="52" spans="1:8" x14ac:dyDescent="0.25">
      <c r="E52" t="str">
        <f t="shared" si="0"/>
        <v/>
      </c>
      <c r="H52" s="6"/>
    </row>
    <row r="53" spans="1:8" x14ac:dyDescent="0.25">
      <c r="A53" s="132" t="s">
        <v>62</v>
      </c>
      <c r="B53" s="114"/>
      <c r="C53" s="114"/>
      <c r="D53" s="114"/>
      <c r="E53" s="114"/>
      <c r="F53" s="114"/>
      <c r="H53" s="6"/>
    </row>
    <row r="54" spans="1:8" x14ac:dyDescent="0.25">
      <c r="A54" s="3" t="s">
        <v>8</v>
      </c>
      <c r="B54" s="3" t="s">
        <v>63</v>
      </c>
      <c r="C54" s="3" t="s">
        <v>64</v>
      </c>
      <c r="D54" s="3" t="s">
        <v>65</v>
      </c>
      <c r="E54" s="3" t="s">
        <v>5</v>
      </c>
      <c r="H54" s="6"/>
    </row>
    <row r="55" spans="1:8" x14ac:dyDescent="0.25">
      <c r="A55" s="13" t="s">
        <v>67</v>
      </c>
      <c r="B55" s="8">
        <f ca="1">IFERROR(ROUND(B12*$L$10*1000000,2),0)</f>
        <v>0</v>
      </c>
      <c r="C55" s="7">
        <f ca="1">ROUND(B55/1000,4)</f>
        <v>0</v>
      </c>
      <c r="D55">
        <f ca="1">ROUND(C55/1000,6)</f>
        <v>0</v>
      </c>
      <c r="E55" t="s">
        <v>101</v>
      </c>
      <c r="H55" s="6"/>
    </row>
    <row r="56" spans="1:8" x14ac:dyDescent="0.25">
      <c r="A56" s="13" t="s">
        <v>68</v>
      </c>
      <c r="B56" s="8">
        <f ca="1">IFERROR(ROUND((B7/B10)*$L$10*1000000,2),0)</f>
        <v>0</v>
      </c>
      <c r="C56" s="7">
        <f ca="1">ROUND(B56/1000,4)</f>
        <v>0</v>
      </c>
      <c r="D56">
        <f ca="1">ROUND(C56/1000,6)</f>
        <v>0</v>
      </c>
      <c r="E56" t="s">
        <v>102</v>
      </c>
      <c r="H56" s="6"/>
    </row>
    <row r="57" spans="1:8" x14ac:dyDescent="0.25">
      <c r="A57" s="7" t="s">
        <v>47</v>
      </c>
      <c r="B57" s="8">
        <f ca="1">ROUND(B55+B56,2)</f>
        <v>0</v>
      </c>
      <c r="C57" s="7">
        <f ca="1">ROUND(C55+C56,4)</f>
        <v>0</v>
      </c>
      <c r="D57">
        <f ca="1">ROUND(D55+D56,6)</f>
        <v>0</v>
      </c>
      <c r="E57" t="s">
        <v>103</v>
      </c>
      <c r="H57" s="6"/>
    </row>
    <row r="58" spans="1:8" x14ac:dyDescent="0.25">
      <c r="A58" s="7" t="s">
        <v>48</v>
      </c>
      <c r="B58" s="8">
        <f ca="1">ROUND($L$10*1000000,2)</f>
        <v>0</v>
      </c>
      <c r="C58" s="7">
        <f ca="1">ROUND(B58/1000,4)</f>
        <v>0</v>
      </c>
      <c r="D58">
        <f ca="1">ROUND(C58/1000,6)</f>
        <v>0</v>
      </c>
      <c r="E58" s="23" t="s">
        <v>70</v>
      </c>
      <c r="H58" s="6"/>
    </row>
    <row r="59" spans="1:8" x14ac:dyDescent="0.25">
      <c r="A59" s="7" t="s">
        <v>49</v>
      </c>
      <c r="B59" s="8">
        <f ca="1">IFERROR(ROUND(B55*2,2),0)</f>
        <v>0</v>
      </c>
      <c r="C59" s="7">
        <f ca="1">ROUND(B59/1000,4)</f>
        <v>0</v>
      </c>
      <c r="D59">
        <f ca="1">ROUND(C59/1000,6)</f>
        <v>0</v>
      </c>
      <c r="E59" s="23" t="s">
        <v>71</v>
      </c>
      <c r="H59" s="6"/>
    </row>
    <row r="60" spans="1:8" x14ac:dyDescent="0.25">
      <c r="A60" s="7" t="s">
        <v>50</v>
      </c>
      <c r="B60" s="8">
        <f ca="1">ROUND($L$10*1000000,2)</f>
        <v>0</v>
      </c>
      <c r="C60" s="7">
        <f ca="1">ROUND(B60/1000,4)</f>
        <v>0</v>
      </c>
      <c r="D60">
        <f ca="1">ROUND(C60/1000,6)</f>
        <v>0</v>
      </c>
      <c r="E60" s="23" t="s">
        <v>70</v>
      </c>
      <c r="H60" s="6"/>
    </row>
    <row r="61" spans="1:8" x14ac:dyDescent="0.25">
      <c r="A61" s="7" t="s">
        <v>51</v>
      </c>
      <c r="B61" s="8">
        <f ca="1">IFERROR(ROUND(B56*2,2),0)</f>
        <v>0</v>
      </c>
      <c r="C61" s="7">
        <f ca="1">ROUND(B61/1000,4)</f>
        <v>0</v>
      </c>
      <c r="D61">
        <f ca="1">ROUND(C61/1000,6)</f>
        <v>0</v>
      </c>
      <c r="E61" s="23" t="s">
        <v>72</v>
      </c>
      <c r="H61" s="6"/>
    </row>
    <row r="62" spans="1:8" x14ac:dyDescent="0.25">
      <c r="A62" s="7" t="s">
        <v>52</v>
      </c>
      <c r="B62" s="8">
        <f ca="1">IFERROR(ROUND(ABS(B55-B56)/2,2),0)</f>
        <v>0</v>
      </c>
      <c r="C62" s="7">
        <f ca="1">ROUND(B62/1000,4)</f>
        <v>0</v>
      </c>
      <c r="D62">
        <f ca="1">ROUND(C62/1000,6)</f>
        <v>0</v>
      </c>
      <c r="E62" s="23" t="s">
        <v>73</v>
      </c>
      <c r="H62" s="6"/>
    </row>
    <row r="63" spans="1:8" x14ac:dyDescent="0.25">
      <c r="A63" s="7" t="s">
        <v>69</v>
      </c>
      <c r="B63" s="8">
        <f ca="1">IFERROR(ROUND(1000000/B57,2),0)</f>
        <v>0</v>
      </c>
      <c r="C63" s="7">
        <f ca="1">IFERROR(ROUND(1000/C57,2),0)</f>
        <v>0</v>
      </c>
      <c r="D63">
        <f ca="1">IFERROR(ROUND(1/D57,2),0)</f>
        <v>0</v>
      </c>
      <c r="E63" s="23" t="s">
        <v>74</v>
      </c>
      <c r="H63" s="6"/>
    </row>
    <row r="64" spans="1:8" x14ac:dyDescent="0.25">
      <c r="E64" t="str">
        <f t="shared" si="0"/>
        <v/>
      </c>
      <c r="H64" s="6"/>
    </row>
    <row r="65" spans="5:8" x14ac:dyDescent="0.25">
      <c r="E65" t="str">
        <f t="shared" si="0"/>
        <v/>
      </c>
      <c r="H65" s="6"/>
    </row>
    <row r="66" spans="5:8" x14ac:dyDescent="0.25">
      <c r="E66" t="str">
        <f t="shared" si="0"/>
        <v/>
      </c>
      <c r="H66" s="6"/>
    </row>
    <row r="67" spans="5:8" x14ac:dyDescent="0.25">
      <c r="E67" t="str">
        <f t="shared" si="0"/>
        <v/>
      </c>
      <c r="H67" s="6"/>
    </row>
    <row r="68" spans="5:8" x14ac:dyDescent="0.25">
      <c r="E68" t="str">
        <f t="shared" si="0"/>
        <v/>
      </c>
      <c r="H68" s="6"/>
    </row>
    <row r="69" spans="5:8" x14ac:dyDescent="0.25">
      <c r="E69" t="str">
        <f t="shared" ref="E69:E104" si="1">IF(F69&lt;&gt;"",ROW()-4,"")</f>
        <v/>
      </c>
      <c r="H69" s="6"/>
    </row>
    <row r="70" spans="5:8" x14ac:dyDescent="0.25">
      <c r="E70" t="str">
        <f t="shared" si="1"/>
        <v/>
      </c>
      <c r="H70" s="6"/>
    </row>
    <row r="71" spans="5:8" x14ac:dyDescent="0.25">
      <c r="E71" t="str">
        <f t="shared" si="1"/>
        <v/>
      </c>
      <c r="H71" s="6"/>
    </row>
    <row r="72" spans="5:8" x14ac:dyDescent="0.25">
      <c r="E72" t="str">
        <f t="shared" si="1"/>
        <v/>
      </c>
      <c r="H72" s="6"/>
    </row>
    <row r="73" spans="5:8" x14ac:dyDescent="0.25">
      <c r="E73" t="str">
        <f t="shared" si="1"/>
        <v/>
      </c>
      <c r="H73" s="6"/>
    </row>
    <row r="74" spans="5:8" x14ac:dyDescent="0.25">
      <c r="E74" t="str">
        <f t="shared" si="1"/>
        <v/>
      </c>
      <c r="H74" s="6"/>
    </row>
    <row r="75" spans="5:8" x14ac:dyDescent="0.25">
      <c r="E75" t="str">
        <f t="shared" si="1"/>
        <v/>
      </c>
      <c r="H75" s="6"/>
    </row>
    <row r="76" spans="5:8" x14ac:dyDescent="0.25">
      <c r="E76" t="str">
        <f t="shared" si="1"/>
        <v/>
      </c>
      <c r="H76" s="6"/>
    </row>
    <row r="77" spans="5:8" x14ac:dyDescent="0.25">
      <c r="E77" t="str">
        <f t="shared" si="1"/>
        <v/>
      </c>
      <c r="H77" s="6"/>
    </row>
    <row r="78" spans="5:8" x14ac:dyDescent="0.25">
      <c r="E78" t="str">
        <f t="shared" si="1"/>
        <v/>
      </c>
      <c r="H78" s="6"/>
    </row>
    <row r="79" spans="5:8" x14ac:dyDescent="0.25">
      <c r="E79" t="str">
        <f t="shared" si="1"/>
        <v/>
      </c>
      <c r="H79" s="6"/>
    </row>
    <row r="80" spans="5:8" x14ac:dyDescent="0.25">
      <c r="E80" t="str">
        <f t="shared" si="1"/>
        <v/>
      </c>
      <c r="H80" s="6"/>
    </row>
    <row r="81" spans="5:8" x14ac:dyDescent="0.25">
      <c r="E81" t="str">
        <f t="shared" si="1"/>
        <v/>
      </c>
      <c r="H81" s="6"/>
    </row>
    <row r="82" spans="5:8" x14ac:dyDescent="0.25">
      <c r="E82" t="str">
        <f t="shared" si="1"/>
        <v/>
      </c>
      <c r="H82" s="6"/>
    </row>
    <row r="83" spans="5:8" x14ac:dyDescent="0.25">
      <c r="E83" t="str">
        <f t="shared" si="1"/>
        <v/>
      </c>
      <c r="H83" s="6"/>
    </row>
    <row r="84" spans="5:8" x14ac:dyDescent="0.25">
      <c r="E84" t="str">
        <f t="shared" si="1"/>
        <v/>
      </c>
      <c r="H84" s="6"/>
    </row>
    <row r="85" spans="5:8" x14ac:dyDescent="0.25">
      <c r="E85" t="str">
        <f t="shared" si="1"/>
        <v/>
      </c>
      <c r="H85" s="6"/>
    </row>
    <row r="86" spans="5:8" x14ac:dyDescent="0.25">
      <c r="E86" t="str">
        <f t="shared" si="1"/>
        <v/>
      </c>
      <c r="H86" s="6"/>
    </row>
    <row r="87" spans="5:8" x14ac:dyDescent="0.25">
      <c r="E87" t="str">
        <f t="shared" si="1"/>
        <v/>
      </c>
      <c r="H87" s="6"/>
    </row>
    <row r="88" spans="5:8" x14ac:dyDescent="0.25">
      <c r="E88" t="str">
        <f t="shared" si="1"/>
        <v/>
      </c>
      <c r="H88" s="6"/>
    </row>
    <row r="89" spans="5:8" x14ac:dyDescent="0.25">
      <c r="E89" t="str">
        <f t="shared" si="1"/>
        <v/>
      </c>
      <c r="H89" s="6"/>
    </row>
    <row r="90" spans="5:8" x14ac:dyDescent="0.25">
      <c r="E90" t="str">
        <f t="shared" si="1"/>
        <v/>
      </c>
      <c r="H90" s="6"/>
    </row>
    <row r="91" spans="5:8" x14ac:dyDescent="0.25">
      <c r="E91" t="str">
        <f t="shared" si="1"/>
        <v/>
      </c>
      <c r="H91" s="6"/>
    </row>
    <row r="92" spans="5:8" x14ac:dyDescent="0.25">
      <c r="E92" t="str">
        <f t="shared" si="1"/>
        <v/>
      </c>
      <c r="H92" s="6"/>
    </row>
    <row r="93" spans="5:8" x14ac:dyDescent="0.25">
      <c r="E93" t="str">
        <f t="shared" si="1"/>
        <v/>
      </c>
      <c r="H93" s="6"/>
    </row>
    <row r="94" spans="5:8" x14ac:dyDescent="0.25">
      <c r="E94" t="str">
        <f t="shared" si="1"/>
        <v/>
      </c>
      <c r="H94" s="6"/>
    </row>
    <row r="95" spans="5:8" x14ac:dyDescent="0.25">
      <c r="E95" t="str">
        <f t="shared" si="1"/>
        <v/>
      </c>
      <c r="H95" s="6"/>
    </row>
    <row r="96" spans="5:8" x14ac:dyDescent="0.25">
      <c r="E96" t="str">
        <f t="shared" si="1"/>
        <v/>
      </c>
      <c r="H96" s="6"/>
    </row>
    <row r="97" spans="5:8" x14ac:dyDescent="0.25">
      <c r="E97" t="str">
        <f t="shared" si="1"/>
        <v/>
      </c>
      <c r="H97" s="6"/>
    </row>
    <row r="98" spans="5:8" x14ac:dyDescent="0.25">
      <c r="E98" t="str">
        <f t="shared" si="1"/>
        <v/>
      </c>
      <c r="H98" s="6"/>
    </row>
    <row r="99" spans="5:8" x14ac:dyDescent="0.25">
      <c r="E99" t="str">
        <f t="shared" si="1"/>
        <v/>
      </c>
      <c r="H99" s="6"/>
    </row>
    <row r="100" spans="5:8" x14ac:dyDescent="0.25">
      <c r="E100" t="str">
        <f t="shared" si="1"/>
        <v/>
      </c>
      <c r="H100" s="6"/>
    </row>
    <row r="101" spans="5:8" x14ac:dyDescent="0.25">
      <c r="E101" t="str">
        <f t="shared" si="1"/>
        <v/>
      </c>
      <c r="H101" s="6"/>
    </row>
    <row r="102" spans="5:8" x14ac:dyDescent="0.25">
      <c r="E102" t="str">
        <f t="shared" si="1"/>
        <v/>
      </c>
      <c r="H102" s="6"/>
    </row>
    <row r="103" spans="5:8" x14ac:dyDescent="0.25">
      <c r="E103" t="str">
        <f t="shared" si="1"/>
        <v/>
      </c>
      <c r="H103" s="6"/>
    </row>
    <row r="104" spans="5:8" x14ac:dyDescent="0.25">
      <c r="E104" t="str">
        <f t="shared" si="1"/>
        <v/>
      </c>
      <c r="H104" s="6"/>
    </row>
    <row r="105" spans="5:8" x14ac:dyDescent="0.25">
      <c r="E105" t="str">
        <f>IF(F105&lt;&gt;"",E104+1,"")</f>
        <v/>
      </c>
      <c r="H105" s="6"/>
    </row>
    <row r="106" spans="5:8" x14ac:dyDescent="0.25">
      <c r="H106" s="6"/>
    </row>
    <row r="107" spans="5:8" x14ac:dyDescent="0.25">
      <c r="H107" s="6"/>
    </row>
    <row r="108" spans="5:8" x14ac:dyDescent="0.25">
      <c r="H108" s="6"/>
    </row>
    <row r="109" spans="5:8" x14ac:dyDescent="0.25">
      <c r="H109" s="6"/>
    </row>
    <row r="110" spans="5:8" x14ac:dyDescent="0.25">
      <c r="H110" s="6"/>
    </row>
    <row r="111" spans="5:8" x14ac:dyDescent="0.25">
      <c r="H111" s="6"/>
    </row>
    <row r="112" spans="5:8" x14ac:dyDescent="0.25">
      <c r="H112" s="6"/>
    </row>
    <row r="113" spans="8:8" x14ac:dyDescent="0.25">
      <c r="H113" s="6"/>
    </row>
    <row r="114" spans="8:8" x14ac:dyDescent="0.25">
      <c r="H114" s="6"/>
    </row>
    <row r="115" spans="8:8" x14ac:dyDescent="0.25">
      <c r="H115" s="6"/>
    </row>
    <row r="116" spans="8:8" x14ac:dyDescent="0.25">
      <c r="H116" s="6"/>
    </row>
    <row r="117" spans="8:8" x14ac:dyDescent="0.25">
      <c r="H117" s="6"/>
    </row>
    <row r="118" spans="8:8" x14ac:dyDescent="0.25">
      <c r="H118" s="6"/>
    </row>
    <row r="119" spans="8:8" x14ac:dyDescent="0.25">
      <c r="H119" s="6"/>
    </row>
    <row r="120" spans="8:8" x14ac:dyDescent="0.25">
      <c r="H120" s="6"/>
    </row>
    <row r="121" spans="8:8" x14ac:dyDescent="0.25">
      <c r="H121" s="6"/>
    </row>
    <row r="122" spans="8:8" x14ac:dyDescent="0.25">
      <c r="H122" s="6"/>
    </row>
    <row r="123" spans="8:8" x14ac:dyDescent="0.25">
      <c r="H123" s="6"/>
    </row>
    <row r="124" spans="8:8" x14ac:dyDescent="0.25">
      <c r="H124" s="6"/>
    </row>
    <row r="125" spans="8:8" x14ac:dyDescent="0.25">
      <c r="H125" s="6"/>
    </row>
    <row r="126" spans="8:8" x14ac:dyDescent="0.25">
      <c r="H126" s="6"/>
    </row>
    <row r="127" spans="8:8" x14ac:dyDescent="0.25">
      <c r="H127" s="6"/>
    </row>
    <row r="128" spans="8:8" x14ac:dyDescent="0.25">
      <c r="H128" s="6"/>
    </row>
    <row r="129" spans="8:8" x14ac:dyDescent="0.25">
      <c r="H129" s="6"/>
    </row>
    <row r="130" spans="8:8" x14ac:dyDescent="0.25">
      <c r="H130" s="6"/>
    </row>
    <row r="131" spans="8:8" x14ac:dyDescent="0.25">
      <c r="H131" s="6"/>
    </row>
    <row r="132" spans="8:8" x14ac:dyDescent="0.25">
      <c r="H132" s="6"/>
    </row>
    <row r="133" spans="8:8" x14ac:dyDescent="0.25">
      <c r="H133" s="6"/>
    </row>
    <row r="134" spans="8:8" x14ac:dyDescent="0.25">
      <c r="H134" s="6"/>
    </row>
    <row r="135" spans="8:8" x14ac:dyDescent="0.25">
      <c r="H135" s="6"/>
    </row>
    <row r="136" spans="8:8" x14ac:dyDescent="0.25">
      <c r="H136" s="6"/>
    </row>
    <row r="137" spans="8:8" x14ac:dyDescent="0.25">
      <c r="H137" s="6"/>
    </row>
    <row r="138" spans="8:8" x14ac:dyDescent="0.25">
      <c r="H138" s="6"/>
    </row>
    <row r="139" spans="8:8" x14ac:dyDescent="0.25">
      <c r="H139" s="6"/>
    </row>
    <row r="140" spans="8:8" x14ac:dyDescent="0.25">
      <c r="H140" s="6"/>
    </row>
    <row r="141" spans="8:8" x14ac:dyDescent="0.25">
      <c r="H141" s="6"/>
    </row>
    <row r="142" spans="8:8" x14ac:dyDescent="0.25">
      <c r="H142" s="6"/>
    </row>
    <row r="143" spans="8:8" x14ac:dyDescent="0.25">
      <c r="H143" s="6"/>
    </row>
    <row r="144" spans="8:8" x14ac:dyDescent="0.25">
      <c r="H144" s="6"/>
    </row>
    <row r="145" spans="8:8" x14ac:dyDescent="0.25">
      <c r="H145" s="6"/>
    </row>
    <row r="146" spans="8:8" x14ac:dyDescent="0.25">
      <c r="H146" s="6"/>
    </row>
    <row r="147" spans="8:8" x14ac:dyDescent="0.25">
      <c r="H147" s="6"/>
    </row>
    <row r="148" spans="8:8" x14ac:dyDescent="0.25">
      <c r="H148" s="6"/>
    </row>
    <row r="149" spans="8:8" x14ac:dyDescent="0.25">
      <c r="H149" s="6"/>
    </row>
    <row r="150" spans="8:8" x14ac:dyDescent="0.25">
      <c r="H150" s="6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</sheetData>
  <mergeCells count="12">
    <mergeCell ref="A53:F53"/>
    <mergeCell ref="A1:F1"/>
    <mergeCell ref="K1:N1"/>
    <mergeCell ref="A3:C3"/>
    <mergeCell ref="E3:I3"/>
    <mergeCell ref="L3:N3"/>
    <mergeCell ref="K8:N8"/>
    <mergeCell ref="A15:C15"/>
    <mergeCell ref="K15:N15"/>
    <mergeCell ref="K24:N24"/>
    <mergeCell ref="A25:C25"/>
    <mergeCell ref="K25:N29"/>
  </mergeCells>
  <conditionalFormatting sqref="G5:G105">
    <cfRule type="containsText" dxfId="7" priority="1" operator="containsText" text="ON">
      <formula>NOT(ISERROR(SEARCH("ON",G5)))</formula>
    </cfRule>
    <cfRule type="containsText" dxfId="6" priority="2" operator="containsText" text="OFF">
      <formula>NOT(ISERROR(SEARCH("OFF",G5)))</formula>
    </cfRule>
  </conditionalFormatting>
  <dataValidations count="3">
    <dataValidation type="list" allowBlank="1" showInputMessage="1" showErrorMessage="1" sqref="B19" xr:uid="{40489200-F6FB-4A5A-81B9-64B02AA33AC4}">
      <formula1>"1,2,3,4,5,6"</formula1>
    </dataValidation>
    <dataValidation type="list" allowBlank="1" showInputMessage="1" showErrorMessage="1" sqref="B18" xr:uid="{58BED4E5-29B1-4109-98F2-17E0BACAC4B3}">
      <formula1>"2,4,6,8"</formula1>
    </dataValidation>
    <dataValidation type="list" allowBlank="1" showInputMessage="1" showErrorMessage="1" sqref="B17" xr:uid="{4EE725C4-FD61-44FE-BBFA-F61631B3F6A8}">
      <formula1>"100,200,300,400,500"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AFDDA-7010-43E6-ACF2-03C4ADF0CD8D}">
  <dimension ref="A1:N200"/>
  <sheetViews>
    <sheetView topLeftCell="A12" zoomScale="85" zoomScaleNormal="85" workbookViewId="0">
      <selection activeCell="E3" sqref="E3:I42"/>
    </sheetView>
  </sheetViews>
  <sheetFormatPr defaultRowHeight="15" x14ac:dyDescent="0.25"/>
  <cols>
    <col min="1" max="1" width="41.85546875" customWidth="1"/>
    <col min="2" max="2" width="19" customWidth="1"/>
    <col min="3" max="3" width="34.28515625" customWidth="1"/>
    <col min="5" max="5" width="20.42578125" customWidth="1"/>
    <col min="6" max="6" width="9.5703125" bestFit="1" customWidth="1"/>
    <col min="7" max="7" width="9.7109375" bestFit="1" customWidth="1"/>
    <col min="8" max="8" width="8.28515625" bestFit="1" customWidth="1"/>
    <col min="9" max="9" width="17.140625" customWidth="1"/>
    <col min="11" max="11" width="24.42578125" customWidth="1"/>
  </cols>
  <sheetData>
    <row r="1" spans="1:14" ht="18.75" x14ac:dyDescent="0.3">
      <c r="A1" s="137" t="s">
        <v>6</v>
      </c>
      <c r="B1" s="138"/>
      <c r="C1" s="138"/>
      <c r="D1" s="138"/>
      <c r="E1" s="138"/>
      <c r="F1" s="138"/>
      <c r="K1" s="139" t="s">
        <v>54</v>
      </c>
      <c r="L1" s="114"/>
      <c r="M1" s="114"/>
      <c r="N1" s="114"/>
    </row>
    <row r="3" spans="1:14" x14ac:dyDescent="0.25">
      <c r="A3" s="140" t="s">
        <v>7</v>
      </c>
      <c r="B3" s="141"/>
      <c r="C3" s="141"/>
      <c r="E3" s="142" t="s">
        <v>19</v>
      </c>
      <c r="F3" s="142"/>
      <c r="G3" s="142"/>
      <c r="H3" s="142"/>
      <c r="I3" s="142"/>
      <c r="K3" s="2" t="s">
        <v>55</v>
      </c>
      <c r="L3" s="143" t="s">
        <v>56</v>
      </c>
      <c r="M3" s="114"/>
      <c r="N3" s="114"/>
    </row>
    <row r="4" spans="1:14" x14ac:dyDescent="0.25">
      <c r="A4" s="15" t="s">
        <v>8</v>
      </c>
      <c r="B4" s="15" t="s">
        <v>9</v>
      </c>
      <c r="C4" s="15" t="s">
        <v>10</v>
      </c>
      <c r="E4" s="5" t="s">
        <v>3</v>
      </c>
      <c r="F4" s="5" t="s">
        <v>0</v>
      </c>
      <c r="G4" s="5" t="s">
        <v>4</v>
      </c>
      <c r="H4" s="5" t="s">
        <v>20</v>
      </c>
      <c r="I4" s="14" t="s">
        <v>53</v>
      </c>
    </row>
    <row r="5" spans="1:14" x14ac:dyDescent="0.25">
      <c r="A5" s="13" t="s">
        <v>11</v>
      </c>
      <c r="B5" s="16">
        <f ca="1">COUNTA(INDIRECT("'"&amp;$L$3&amp;"'!A:A"))</f>
        <v>1</v>
      </c>
      <c r="C5" s="11" t="s">
        <v>41</v>
      </c>
      <c r="E5" t="str">
        <f t="shared" ref="E5:E50" si="0">IF(F5&lt;&gt;"",ROW()-4,"")</f>
        <v/>
      </c>
      <c r="F5" t="str" cm="1">
        <f t="array" ref="F5">IFERROR(_xlfn._xlws.FILTER(#REF!,#REF!&lt;&gt;""),"")</f>
        <v/>
      </c>
      <c r="G5" t="str" cm="1">
        <f t="array" ref="G5">IFERROR(_xlfn._xlws.FILTER(#REF!,#REF!&lt;&gt;""),"")</f>
        <v/>
      </c>
      <c r="H5" s="6" t="str" cm="1">
        <f t="array" ref="H5">IFERROR(_xlfn._xlws.FILTER(#REF!,#REF!&lt;&gt;""),"")</f>
        <v/>
      </c>
      <c r="I5" s="4" t="str">
        <f>IFERROR(INDEX(#REF!,MATCH(F5,#REF!,0)),"")</f>
        <v/>
      </c>
      <c r="K5" t="s">
        <v>57</v>
      </c>
      <c r="L5" s="22" t="s">
        <v>58</v>
      </c>
    </row>
    <row r="6" spans="1:14" x14ac:dyDescent="0.25">
      <c r="A6" s="13" t="s">
        <v>12</v>
      </c>
      <c r="B6" s="16" t="e">
        <f ca="1">COUNTIF(INDIRECT("'"&amp;$L$3&amp;"'!E:E"),1)</f>
        <v>#REF!</v>
      </c>
      <c r="C6" s="11" t="s">
        <v>41</v>
      </c>
      <c r="E6" t="str">
        <f t="shared" si="0"/>
        <v/>
      </c>
      <c r="H6" s="6"/>
      <c r="I6" s="4" t="str">
        <f>IFERROR(INDEX(#REF!,MATCH(F6,#REF!,0)),"")</f>
        <v/>
      </c>
      <c r="K6" t="s">
        <v>59</v>
      </c>
      <c r="L6" s="22" t="s">
        <v>60</v>
      </c>
    </row>
    <row r="7" spans="1:14" x14ac:dyDescent="0.25">
      <c r="A7" s="13" t="s">
        <v>13</v>
      </c>
      <c r="B7" s="16" t="e">
        <f ca="1">COUNTIF(INDIRECT("'"&amp;$L$3&amp;"'!E:E"),0)</f>
        <v>#REF!</v>
      </c>
      <c r="C7" s="11" t="s">
        <v>41</v>
      </c>
      <c r="E7" t="str">
        <f t="shared" si="0"/>
        <v/>
      </c>
      <c r="H7" s="6"/>
      <c r="I7" s="4" t="str">
        <f>IFERROR(INDEX(#REF!,MATCH(F7,#REF!,0)),"")</f>
        <v/>
      </c>
    </row>
    <row r="8" spans="1:14" x14ac:dyDescent="0.25">
      <c r="A8" s="13" t="s">
        <v>14</v>
      </c>
      <c r="B8" s="17">
        <f ca="1">IFERROR(ROUND(B6/B5*100,2),0)</f>
        <v>0</v>
      </c>
      <c r="C8" s="11" t="s">
        <v>30</v>
      </c>
      <c r="E8" t="str">
        <f t="shared" si="0"/>
        <v/>
      </c>
      <c r="H8" s="6"/>
      <c r="I8" s="4" t="str">
        <f>IFERROR(INDEX(#REF!,MATCH(F8,#REF!,0)),"")</f>
        <v/>
      </c>
      <c r="K8" s="144" t="s">
        <v>61</v>
      </c>
      <c r="L8" s="114"/>
      <c r="M8" s="114"/>
      <c r="N8" s="114"/>
    </row>
    <row r="9" spans="1:14" x14ac:dyDescent="0.25">
      <c r="A9" s="13" t="s">
        <v>15</v>
      </c>
      <c r="B9" s="17" t="e" cm="1">
        <f t="array" aca="1" ref="B9" ca="1">SUMPRODUCT(--(INDIRECT("'"&amp;$L$3&amp;"'!E2:E"&amp;B5)=1),--(INDIRECT("'"&amp;$L$3&amp;"'!E1:E"&amp;(B5-1))=0))</f>
        <v>#REF!</v>
      </c>
      <c r="C9" s="11" t="s">
        <v>42</v>
      </c>
      <c r="E9" t="str">
        <f t="shared" si="0"/>
        <v/>
      </c>
      <c r="H9" s="6"/>
      <c r="I9" s="4" t="str">
        <f>IFERROR(INDEX(#REF!,MATCH(F9,#REF!,0)),"")</f>
        <v/>
      </c>
    </row>
    <row r="10" spans="1:14" x14ac:dyDescent="0.25">
      <c r="A10" s="13" t="s">
        <v>16</v>
      </c>
      <c r="B10" s="17" t="e" cm="1">
        <f t="array" aca="1" ref="B10" ca="1">SUMPRODUCT(--(INDIRECT("'"&amp;$L$3&amp;"'!E2:E"&amp;B5)=0),--(INDIRECT("'"&amp;$L$3&amp;"'!E1:E"&amp;(B5-1))=1))</f>
        <v>#REF!</v>
      </c>
      <c r="C10" s="11" t="s">
        <v>42</v>
      </c>
      <c r="E10" t="str">
        <f t="shared" si="0"/>
        <v/>
      </c>
      <c r="H10" s="6"/>
      <c r="I10" s="4" t="str">
        <f>IFERROR(INDEX(#REF!,MATCH(F10,#REF!,0)),"")</f>
        <v/>
      </c>
      <c r="K10" t="s">
        <v>66</v>
      </c>
      <c r="L10">
        <f ca="1">IFERROR(B13/(B5-1),0)</f>
        <v>0</v>
      </c>
    </row>
    <row r="11" spans="1:14" x14ac:dyDescent="0.25">
      <c r="A11" s="13" t="s">
        <v>17</v>
      </c>
      <c r="B11" s="17" t="e">
        <f ca="1">B9+B10</f>
        <v>#REF!</v>
      </c>
      <c r="C11" s="11" t="s">
        <v>42</v>
      </c>
      <c r="E11" t="str">
        <f t="shared" si="0"/>
        <v/>
      </c>
      <c r="H11" s="6"/>
      <c r="I11" s="4" t="str">
        <f>IFERROR(INDEX(#REF!,MATCH(F11,#REF!,0)),"")</f>
        <v/>
      </c>
    </row>
    <row r="12" spans="1:14" x14ac:dyDescent="0.25">
      <c r="A12" s="13" t="s">
        <v>18</v>
      </c>
      <c r="B12" s="17">
        <f ca="1">IFERROR(ROUND(B6/B9,2),0)</f>
        <v>0</v>
      </c>
      <c r="C12" s="11" t="s">
        <v>41</v>
      </c>
      <c r="E12" t="str">
        <f t="shared" si="0"/>
        <v/>
      </c>
      <c r="H12" s="6"/>
      <c r="I12" s="4" t="str">
        <f>IFERROR(INDEX(#REF!,MATCH(F12,#REF!,0)),"")</f>
        <v/>
      </c>
      <c r="K12" t="s">
        <v>75</v>
      </c>
      <c r="L12">
        <f ca="1">B5</f>
        <v>1</v>
      </c>
    </row>
    <row r="13" spans="1:14" x14ac:dyDescent="0.25">
      <c r="A13" s="13" t="s">
        <v>21</v>
      </c>
      <c r="B13" s="12" cm="1">
        <f t="array" aca="1" ref="B13" ca="1">IFERROR((INDIRECT("'"&amp;$L$3&amp;"'!A"&amp;COUNTA(INDIRECT("'"&amp;$L$3&amp;"'!A:A")))-INDIRECT("'"&amp;$L$3&amp;"'!A1"))*86400,0)</f>
        <v>0</v>
      </c>
      <c r="C13" s="11" t="s">
        <v>43</v>
      </c>
      <c r="E13" t="str">
        <f t="shared" si="0"/>
        <v/>
      </c>
      <c r="H13" s="6"/>
      <c r="I13" s="4" t="str">
        <f>IFERROR(INDEX(#REF!,MATCH(F13,#REF!,0)),"")</f>
        <v/>
      </c>
      <c r="K13" t="s">
        <v>76</v>
      </c>
      <c r="L13">
        <f ca="1">IFERROR(ROUND(1/$L$10,2),0)</f>
        <v>0</v>
      </c>
    </row>
    <row r="14" spans="1:14" x14ac:dyDescent="0.25">
      <c r="E14" t="str">
        <f t="shared" si="0"/>
        <v/>
      </c>
      <c r="H14" s="6"/>
      <c r="I14" s="4" t="str">
        <f>IFERROR(INDEX(#REF!,MATCH(F14,#REF!,0)),"")</f>
        <v/>
      </c>
    </row>
    <row r="15" spans="1:14" x14ac:dyDescent="0.25">
      <c r="A15" s="132" t="s">
        <v>22</v>
      </c>
      <c r="B15" s="133"/>
      <c r="C15" s="133"/>
      <c r="E15" t="str">
        <f t="shared" si="0"/>
        <v/>
      </c>
      <c r="H15" s="6"/>
      <c r="I15" s="4" t="str">
        <f>IFERROR(INDEX(#REF!,MATCH(F15,#REF!,0)),"")</f>
        <v/>
      </c>
      <c r="K15" s="134" t="s">
        <v>77</v>
      </c>
      <c r="L15" s="114"/>
      <c r="M15" s="114"/>
      <c r="N15" s="114"/>
    </row>
    <row r="16" spans="1:14" x14ac:dyDescent="0.25">
      <c r="A16" s="13" t="s">
        <v>8</v>
      </c>
      <c r="B16" s="13" t="s">
        <v>23</v>
      </c>
      <c r="C16" s="13" t="s">
        <v>5</v>
      </c>
      <c r="E16" t="str">
        <f t="shared" si="0"/>
        <v/>
      </c>
      <c r="H16" s="6"/>
      <c r="I16" s="4" t="str">
        <f>IFERROR(INDEX(#REF!,MATCH(F16,#REF!,0)),"")</f>
        <v/>
      </c>
      <c r="K16" s="24" t="s">
        <v>39</v>
      </c>
      <c r="L16" s="24" t="s">
        <v>78</v>
      </c>
      <c r="M16" s="24" t="s">
        <v>79</v>
      </c>
      <c r="N16" s="24" t="s">
        <v>9</v>
      </c>
    </row>
    <row r="17" spans="1:14" x14ac:dyDescent="0.25">
      <c r="A17" s="13" t="s">
        <v>24</v>
      </c>
      <c r="B17" s="18">
        <v>100</v>
      </c>
      <c r="C17" s="7" t="s">
        <v>44</v>
      </c>
      <c r="E17" t="str">
        <f t="shared" si="0"/>
        <v/>
      </c>
      <c r="H17" s="6"/>
      <c r="I17" s="4" t="str">
        <f>IFERROR(INDEX(#REF!,MATCH(F17,#REF!,0)),"")</f>
        <v/>
      </c>
      <c r="K17" t="s">
        <v>80</v>
      </c>
      <c r="L17" t="s">
        <v>81</v>
      </c>
      <c r="M17" t="s">
        <v>82</v>
      </c>
      <c r="N17" t="s">
        <v>83</v>
      </c>
    </row>
    <row r="18" spans="1:14" x14ac:dyDescent="0.25">
      <c r="A18" s="13" t="s">
        <v>25</v>
      </c>
      <c r="B18" s="18">
        <v>6</v>
      </c>
      <c r="C18" s="7" t="s">
        <v>26</v>
      </c>
      <c r="E18" t="str">
        <f t="shared" si="0"/>
        <v/>
      </c>
      <c r="H18" s="6"/>
      <c r="I18" s="4" t="str">
        <f>IFERROR(INDEX(#REF!,MATCH(F18,#REF!,0)),"")</f>
        <v/>
      </c>
      <c r="K18" t="s">
        <v>84</v>
      </c>
      <c r="L18" t="s">
        <v>81</v>
      </c>
      <c r="M18" t="s">
        <v>85</v>
      </c>
      <c r="N18" t="s">
        <v>86</v>
      </c>
    </row>
    <row r="19" spans="1:14" x14ac:dyDescent="0.25">
      <c r="A19" s="13" t="s">
        <v>34</v>
      </c>
      <c r="B19" s="19">
        <v>1</v>
      </c>
      <c r="C19" s="7" t="s">
        <v>26</v>
      </c>
      <c r="E19" t="str">
        <f t="shared" si="0"/>
        <v/>
      </c>
      <c r="H19" s="6"/>
      <c r="I19" s="4" t="str">
        <f>IFERROR(INDEX(#REF!,MATCH(F19,#REF!,0)),"")</f>
        <v/>
      </c>
      <c r="K19" t="s">
        <v>87</v>
      </c>
      <c r="L19" t="s">
        <v>88</v>
      </c>
      <c r="M19" t="s">
        <v>82</v>
      </c>
      <c r="N19" t="s">
        <v>89</v>
      </c>
    </row>
    <row r="20" spans="1:14" x14ac:dyDescent="0.25">
      <c r="A20" s="13" t="s">
        <v>31</v>
      </c>
      <c r="B20" s="8">
        <f ca="1">B13</f>
        <v>0</v>
      </c>
      <c r="C20" s="7" t="s">
        <v>43</v>
      </c>
      <c r="E20" t="str">
        <f t="shared" si="0"/>
        <v/>
      </c>
      <c r="H20" s="6"/>
      <c r="I20" s="4" t="str">
        <f>IFERROR(INDEX(#REF!,MATCH(F20,#REF!,0)),"")</f>
        <v/>
      </c>
      <c r="K20" t="s">
        <v>90</v>
      </c>
      <c r="L20" t="s">
        <v>91</v>
      </c>
      <c r="M20" t="s">
        <v>92</v>
      </c>
      <c r="N20" t="s">
        <v>93</v>
      </c>
    </row>
    <row r="21" spans="1:14" x14ac:dyDescent="0.25">
      <c r="A21" s="13" t="s">
        <v>27</v>
      </c>
      <c r="B21" s="8">
        <f ca="1">IFERROR(ROUND(B20*B17/60,2),0)</f>
        <v>0</v>
      </c>
      <c r="C21" s="7" t="s">
        <v>45</v>
      </c>
      <c r="E21" t="str">
        <f t="shared" si="0"/>
        <v/>
      </c>
      <c r="H21" s="6"/>
      <c r="I21" s="4" t="str">
        <f>IFERROR(INDEX(#REF!,MATCH(F21,#REF!,0)),"")</f>
        <v/>
      </c>
      <c r="K21" t="s">
        <v>94</v>
      </c>
      <c r="L21" t="s">
        <v>91</v>
      </c>
      <c r="M21" t="s">
        <v>85</v>
      </c>
      <c r="N21" t="s">
        <v>95</v>
      </c>
    </row>
    <row r="22" spans="1:14" x14ac:dyDescent="0.25">
      <c r="A22" s="13" t="s">
        <v>37</v>
      </c>
      <c r="B22" s="8">
        <f ca="1">IFERROR(ROUND(B21*B18,0),0)</f>
        <v>0</v>
      </c>
      <c r="C22" s="7" t="s">
        <v>46</v>
      </c>
      <c r="E22" t="str">
        <f t="shared" si="0"/>
        <v/>
      </c>
      <c r="H22" s="6"/>
      <c r="I22" s="4" t="str">
        <f>IFERROR(INDEX(#REF!,MATCH(F22,#REF!,0)),"")</f>
        <v/>
      </c>
      <c r="K22" t="s">
        <v>96</v>
      </c>
      <c r="L22" t="s">
        <v>97</v>
      </c>
      <c r="M22" t="s">
        <v>92</v>
      </c>
      <c r="N22" t="s">
        <v>98</v>
      </c>
    </row>
    <row r="23" spans="1:14" x14ac:dyDescent="0.25">
      <c r="A23" s="20" t="s">
        <v>38</v>
      </c>
      <c r="B23" s="17">
        <f ca="1">IFERROR(ROUND(B22*(B19/B18),0),0)</f>
        <v>0</v>
      </c>
      <c r="C23" s="10" t="s">
        <v>33</v>
      </c>
      <c r="E23" t="str">
        <f t="shared" si="0"/>
        <v/>
      </c>
      <c r="H23" s="6"/>
      <c r="I23" s="4" t="str">
        <f>IFERROR(INDEX(#REF!,MATCH(F23,#REF!,0)),"")</f>
        <v/>
      </c>
    </row>
    <row r="24" spans="1:14" x14ac:dyDescent="0.25">
      <c r="E24" t="str">
        <f t="shared" si="0"/>
        <v/>
      </c>
      <c r="H24" s="6"/>
      <c r="I24" s="4" t="str">
        <f>IFERROR(INDEX(#REF!,MATCH(F24,#REF!,0)),"")</f>
        <v/>
      </c>
      <c r="K24" s="135" t="s">
        <v>99</v>
      </c>
      <c r="L24" s="114"/>
      <c r="M24" s="114"/>
      <c r="N24" s="114"/>
    </row>
    <row r="25" spans="1:14" x14ac:dyDescent="0.25">
      <c r="A25" s="132" t="s">
        <v>28</v>
      </c>
      <c r="B25" s="133"/>
      <c r="C25" s="133"/>
      <c r="E25" t="str">
        <f t="shared" si="0"/>
        <v/>
      </c>
      <c r="H25" s="6"/>
      <c r="I25" s="4" t="str">
        <f>IFERROR(INDEX(#REF!,MATCH(F25,#REF!,0)),"")</f>
        <v/>
      </c>
      <c r="K25" s="136" t="s">
        <v>100</v>
      </c>
      <c r="L25" s="114"/>
      <c r="M25" s="114"/>
      <c r="N25" s="114"/>
    </row>
    <row r="26" spans="1:14" x14ac:dyDescent="0.25">
      <c r="A26" s="13" t="s">
        <v>8</v>
      </c>
      <c r="B26" s="13" t="s">
        <v>23</v>
      </c>
      <c r="C26" s="13" t="s">
        <v>5</v>
      </c>
      <c r="E26" t="str">
        <f t="shared" si="0"/>
        <v/>
      </c>
      <c r="H26" s="6"/>
      <c r="I26" s="4" t="str">
        <f>IFERROR(INDEX(#REF!,MATCH(F26,#REF!,0)),"")</f>
        <v/>
      </c>
      <c r="K26" s="136"/>
      <c r="L26" s="114"/>
      <c r="M26" s="114"/>
      <c r="N26" s="114"/>
    </row>
    <row r="27" spans="1:14" x14ac:dyDescent="0.25">
      <c r="A27" s="7" t="s">
        <v>29</v>
      </c>
      <c r="B27" s="8" t="e">
        <f ca="1">B9</f>
        <v>#REF!</v>
      </c>
      <c r="C27" s="7" t="s">
        <v>33</v>
      </c>
      <c r="E27" t="str">
        <f t="shared" si="0"/>
        <v/>
      </c>
      <c r="H27" s="6"/>
      <c r="I27" s="4" t="str">
        <f>IFERROR(INDEX(#REF!,MATCH(F27,#REF!,0)),"")</f>
        <v/>
      </c>
      <c r="K27" s="136"/>
      <c r="L27" s="114"/>
      <c r="M27" s="114"/>
      <c r="N27" s="114"/>
    </row>
    <row r="28" spans="1:14" x14ac:dyDescent="0.25">
      <c r="A28" s="7" t="s">
        <v>35</v>
      </c>
      <c r="B28" s="8">
        <f ca="1">B23</f>
        <v>0</v>
      </c>
      <c r="C28" s="7" t="s">
        <v>33</v>
      </c>
      <c r="E28" t="str">
        <f t="shared" si="0"/>
        <v/>
      </c>
      <c r="H28" s="6"/>
      <c r="I28" s="4" t="str">
        <f>IFERROR(INDEX(#REF!,MATCH(F28,#REF!,0)),"")</f>
        <v/>
      </c>
      <c r="K28" s="136"/>
      <c r="L28" s="114"/>
      <c r="M28" s="114"/>
      <c r="N28" s="114"/>
    </row>
    <row r="29" spans="1:14" x14ac:dyDescent="0.25">
      <c r="A29" s="7" t="s">
        <v>32</v>
      </c>
      <c r="B29" s="8" t="e">
        <f ca="1">B27-B28</f>
        <v>#REF!</v>
      </c>
      <c r="C29" s="7" t="s">
        <v>33</v>
      </c>
      <c r="E29" t="str">
        <f t="shared" si="0"/>
        <v/>
      </c>
      <c r="H29" s="6"/>
      <c r="I29" s="4" t="str">
        <f>IFERROR(INDEX(#REF!,MATCH(F29,#REF!,0)),"")</f>
        <v/>
      </c>
      <c r="K29" s="136"/>
      <c r="L29" s="114"/>
      <c r="M29" s="114"/>
      <c r="N29" s="114"/>
    </row>
    <row r="30" spans="1:14" x14ac:dyDescent="0.25">
      <c r="A30" s="7" t="s">
        <v>14</v>
      </c>
      <c r="B30" s="8">
        <f ca="1">B8</f>
        <v>0</v>
      </c>
      <c r="C30" s="7" t="s">
        <v>30</v>
      </c>
      <c r="E30" t="str">
        <f t="shared" si="0"/>
        <v/>
      </c>
      <c r="H30" s="6"/>
      <c r="I30" s="4" t="str">
        <f>IFERROR(INDEX(#REF!,MATCH(F30,#REF!,0)),"")</f>
        <v/>
      </c>
    </row>
    <row r="31" spans="1:14" ht="18.75" x14ac:dyDescent="0.3">
      <c r="A31" s="9" t="s">
        <v>36</v>
      </c>
      <c r="B31" s="21">
        <f ca="1">IFERROR(ROUND(MIN(B27,B28)/MAX(B27,B28)*100,2),0)</f>
        <v>0</v>
      </c>
      <c r="C31" s="9" t="s">
        <v>30</v>
      </c>
      <c r="E31" t="str">
        <f t="shared" si="0"/>
        <v/>
      </c>
      <c r="H31" s="6"/>
      <c r="I31" s="4" t="str">
        <f>IFERROR(INDEX(#REF!,MATCH(F31,#REF!,0)),"")</f>
        <v/>
      </c>
    </row>
    <row r="32" spans="1:14" x14ac:dyDescent="0.25">
      <c r="E32" t="str">
        <f t="shared" si="0"/>
        <v/>
      </c>
      <c r="H32" s="6"/>
      <c r="I32" s="4" t="str">
        <f>IFERROR(INDEX(#REF!,MATCH(F32,#REF!,0)),"")</f>
        <v/>
      </c>
    </row>
    <row r="33" spans="5:9" x14ac:dyDescent="0.25">
      <c r="E33" t="str">
        <f t="shared" si="0"/>
        <v/>
      </c>
      <c r="H33" s="6"/>
      <c r="I33" s="4" t="str">
        <f>IFERROR(INDEX(#REF!,MATCH(F53,#REF!,0)),"")</f>
        <v/>
      </c>
    </row>
    <row r="34" spans="5:9" x14ac:dyDescent="0.25">
      <c r="E34" t="str">
        <f t="shared" si="0"/>
        <v/>
      </c>
      <c r="H34" s="6"/>
      <c r="I34" s="4" t="str">
        <f>IFERROR(INDEX(#REF!,MATCH(F54,#REF!,0)),"")</f>
        <v/>
      </c>
    </row>
    <row r="35" spans="5:9" x14ac:dyDescent="0.25">
      <c r="E35" t="str">
        <f t="shared" si="0"/>
        <v/>
      </c>
      <c r="H35" s="6"/>
      <c r="I35" s="4" t="str">
        <f>IFERROR(INDEX(#REF!,MATCH(F55,#REF!,0)),"")</f>
        <v/>
      </c>
    </row>
    <row r="36" spans="5:9" x14ac:dyDescent="0.25">
      <c r="E36" t="str">
        <f t="shared" si="0"/>
        <v/>
      </c>
      <c r="H36" s="6"/>
      <c r="I36" s="4" t="str">
        <f>IFERROR(INDEX(#REF!,MATCH(F56,#REF!,0)),"")</f>
        <v/>
      </c>
    </row>
    <row r="37" spans="5:9" x14ac:dyDescent="0.25">
      <c r="E37" t="str">
        <f t="shared" si="0"/>
        <v/>
      </c>
      <c r="H37" s="6"/>
      <c r="I37" s="4" t="str">
        <f>IFERROR(INDEX(#REF!,MATCH(F57,#REF!,0)),"")</f>
        <v/>
      </c>
    </row>
    <row r="38" spans="5:9" x14ac:dyDescent="0.25">
      <c r="E38" t="str">
        <f t="shared" si="0"/>
        <v/>
      </c>
      <c r="H38" s="6"/>
      <c r="I38" s="4" t="str">
        <f>IFERROR(INDEX(#REF!,MATCH(F58,#REF!,0)),"")</f>
        <v/>
      </c>
    </row>
    <row r="39" spans="5:9" x14ac:dyDescent="0.25">
      <c r="E39" t="str">
        <f t="shared" si="0"/>
        <v/>
      </c>
      <c r="H39" s="6"/>
    </row>
    <row r="40" spans="5:9" x14ac:dyDescent="0.25">
      <c r="E40" t="str">
        <f t="shared" si="0"/>
        <v/>
      </c>
      <c r="H40" s="6"/>
    </row>
    <row r="41" spans="5:9" x14ac:dyDescent="0.25">
      <c r="E41" t="str">
        <f t="shared" si="0"/>
        <v/>
      </c>
      <c r="H41" s="6"/>
    </row>
    <row r="42" spans="5:9" x14ac:dyDescent="0.25">
      <c r="E42" t="str">
        <f t="shared" si="0"/>
        <v/>
      </c>
      <c r="H42" s="6"/>
    </row>
    <row r="43" spans="5:9" x14ac:dyDescent="0.25">
      <c r="E43" t="str">
        <f t="shared" si="0"/>
        <v/>
      </c>
      <c r="H43" s="6"/>
    </row>
    <row r="44" spans="5:9" x14ac:dyDescent="0.25">
      <c r="E44" t="str">
        <f t="shared" si="0"/>
        <v/>
      </c>
      <c r="H44" s="6"/>
    </row>
    <row r="45" spans="5:9" x14ac:dyDescent="0.25">
      <c r="E45" t="str">
        <f t="shared" si="0"/>
        <v/>
      </c>
      <c r="H45" s="6"/>
    </row>
    <row r="46" spans="5:9" x14ac:dyDescent="0.25">
      <c r="E46" t="str">
        <f t="shared" si="0"/>
        <v/>
      </c>
      <c r="H46" s="6"/>
    </row>
    <row r="47" spans="5:9" x14ac:dyDescent="0.25">
      <c r="E47" t="str">
        <f t="shared" si="0"/>
        <v/>
      </c>
      <c r="H47" s="6"/>
    </row>
    <row r="48" spans="5:9" x14ac:dyDescent="0.25">
      <c r="E48" t="str">
        <f t="shared" si="0"/>
        <v/>
      </c>
      <c r="H48" s="6"/>
    </row>
    <row r="49" spans="1:8" x14ac:dyDescent="0.25">
      <c r="E49" t="str">
        <f t="shared" si="0"/>
        <v/>
      </c>
      <c r="H49" s="6"/>
    </row>
    <row r="50" spans="1:8" x14ac:dyDescent="0.25">
      <c r="E50" t="str">
        <f t="shared" si="0"/>
        <v/>
      </c>
      <c r="H50" s="6"/>
    </row>
    <row r="51" spans="1:8" x14ac:dyDescent="0.25">
      <c r="E51" t="str">
        <f t="shared" ref="E51:E68" si="1">IF(F51&lt;&gt;"",ROW()-4,"")</f>
        <v/>
      </c>
      <c r="H51" s="6"/>
    </row>
    <row r="52" spans="1:8" x14ac:dyDescent="0.25">
      <c r="E52" t="str">
        <f t="shared" si="1"/>
        <v/>
      </c>
      <c r="H52" s="6"/>
    </row>
    <row r="53" spans="1:8" x14ac:dyDescent="0.25">
      <c r="A53" s="132" t="s">
        <v>62</v>
      </c>
      <c r="B53" s="114"/>
      <c r="C53" s="114"/>
      <c r="D53" s="114"/>
      <c r="E53" s="114"/>
      <c r="F53" s="114"/>
      <c r="H53" s="6"/>
    </row>
    <row r="54" spans="1:8" x14ac:dyDescent="0.25">
      <c r="A54" s="3" t="s">
        <v>8</v>
      </c>
      <c r="B54" s="3" t="s">
        <v>63</v>
      </c>
      <c r="C54" s="3" t="s">
        <v>64</v>
      </c>
      <c r="D54" s="3" t="s">
        <v>65</v>
      </c>
      <c r="E54" s="3" t="s">
        <v>5</v>
      </c>
      <c r="H54" s="6"/>
    </row>
    <row r="55" spans="1:8" x14ac:dyDescent="0.25">
      <c r="A55" s="13" t="s">
        <v>67</v>
      </c>
      <c r="B55" s="8">
        <f ca="1">IFERROR(ROUND(B12*$L$10*1000000,2),0)</f>
        <v>0</v>
      </c>
      <c r="C55" s="7">
        <f ca="1">ROUND(B55/1000,4)</f>
        <v>0</v>
      </c>
      <c r="D55">
        <f ca="1">ROUND(C55/1000,6)</f>
        <v>0</v>
      </c>
      <c r="E55" t="s">
        <v>101</v>
      </c>
      <c r="H55" s="6"/>
    </row>
    <row r="56" spans="1:8" x14ac:dyDescent="0.25">
      <c r="A56" s="13" t="s">
        <v>68</v>
      </c>
      <c r="B56" s="8">
        <f ca="1">IFERROR(ROUND((B7/B10)*$L$10*1000000,2),0)</f>
        <v>0</v>
      </c>
      <c r="C56" s="7">
        <f ca="1">ROUND(B56/1000,4)</f>
        <v>0</v>
      </c>
      <c r="D56">
        <f ca="1">ROUND(C56/1000,6)</f>
        <v>0</v>
      </c>
      <c r="E56" t="s">
        <v>102</v>
      </c>
      <c r="H56" s="6"/>
    </row>
    <row r="57" spans="1:8" x14ac:dyDescent="0.25">
      <c r="A57" s="7" t="s">
        <v>47</v>
      </c>
      <c r="B57" s="8">
        <f ca="1">ROUND(B55+B56,2)</f>
        <v>0</v>
      </c>
      <c r="C57" s="7">
        <f ca="1">ROUND(C55+C56,4)</f>
        <v>0</v>
      </c>
      <c r="D57">
        <f ca="1">ROUND(D55+D56,6)</f>
        <v>0</v>
      </c>
      <c r="E57" t="s">
        <v>103</v>
      </c>
      <c r="H57" s="6"/>
    </row>
    <row r="58" spans="1:8" x14ac:dyDescent="0.25">
      <c r="A58" s="7" t="s">
        <v>48</v>
      </c>
      <c r="B58" s="8">
        <f ca="1">ROUND($L$10*1000000,2)</f>
        <v>0</v>
      </c>
      <c r="C58" s="7">
        <f ca="1">ROUND(B58/1000,4)</f>
        <v>0</v>
      </c>
      <c r="D58">
        <f ca="1">ROUND(C58/1000,6)</f>
        <v>0</v>
      </c>
      <c r="E58" s="23" t="s">
        <v>70</v>
      </c>
      <c r="H58" s="6"/>
    </row>
    <row r="59" spans="1:8" x14ac:dyDescent="0.25">
      <c r="A59" s="7" t="s">
        <v>49</v>
      </c>
      <c r="B59" s="8">
        <f ca="1">IFERROR(ROUND(B55*2,2),0)</f>
        <v>0</v>
      </c>
      <c r="C59" s="7">
        <f ca="1">ROUND(B59/1000,4)</f>
        <v>0</v>
      </c>
      <c r="D59">
        <f ca="1">ROUND(C59/1000,6)</f>
        <v>0</v>
      </c>
      <c r="E59" s="23" t="s">
        <v>71</v>
      </c>
      <c r="H59" s="6"/>
    </row>
    <row r="60" spans="1:8" x14ac:dyDescent="0.25">
      <c r="A60" s="7" t="s">
        <v>50</v>
      </c>
      <c r="B60" s="8">
        <f ca="1">ROUND($L$10*1000000,2)</f>
        <v>0</v>
      </c>
      <c r="C60" s="7">
        <f ca="1">ROUND(B60/1000,4)</f>
        <v>0</v>
      </c>
      <c r="D60">
        <f ca="1">ROUND(C60/1000,6)</f>
        <v>0</v>
      </c>
      <c r="E60" s="23" t="s">
        <v>70</v>
      </c>
      <c r="H60" s="6"/>
    </row>
    <row r="61" spans="1:8" x14ac:dyDescent="0.25">
      <c r="A61" s="7" t="s">
        <v>51</v>
      </c>
      <c r="B61" s="8">
        <f ca="1">IFERROR(ROUND(B56*2,2),0)</f>
        <v>0</v>
      </c>
      <c r="C61" s="7">
        <f ca="1">ROUND(B61/1000,4)</f>
        <v>0</v>
      </c>
      <c r="D61">
        <f ca="1">ROUND(C61/1000,6)</f>
        <v>0</v>
      </c>
      <c r="E61" s="23" t="s">
        <v>72</v>
      </c>
      <c r="H61" s="6"/>
    </row>
    <row r="62" spans="1:8" x14ac:dyDescent="0.25">
      <c r="A62" s="7" t="s">
        <v>52</v>
      </c>
      <c r="B62" s="8">
        <f ca="1">IFERROR(ROUND(ABS(B55-B56)/2,2),0)</f>
        <v>0</v>
      </c>
      <c r="C62" s="7">
        <f ca="1">ROUND(B62/1000,4)</f>
        <v>0</v>
      </c>
      <c r="D62">
        <f ca="1">ROUND(C62/1000,6)</f>
        <v>0</v>
      </c>
      <c r="E62" s="23" t="s">
        <v>73</v>
      </c>
      <c r="H62" s="6"/>
    </row>
    <row r="63" spans="1:8" x14ac:dyDescent="0.25">
      <c r="A63" s="7" t="s">
        <v>69</v>
      </c>
      <c r="B63" s="8">
        <f ca="1">IFERROR(ROUND(1000000/B57,2),0)</f>
        <v>0</v>
      </c>
      <c r="C63" s="7">
        <f ca="1">IFERROR(ROUND(1000/C57,2),0)</f>
        <v>0</v>
      </c>
      <c r="D63">
        <f ca="1">IFERROR(ROUND(1/D57,2),0)</f>
        <v>0</v>
      </c>
      <c r="E63" s="23" t="s">
        <v>74</v>
      </c>
      <c r="H63" s="6"/>
    </row>
    <row r="64" spans="1:8" x14ac:dyDescent="0.25">
      <c r="E64" t="str">
        <f t="shared" si="1"/>
        <v/>
      </c>
      <c r="H64" s="6"/>
    </row>
    <row r="65" spans="5:8" x14ac:dyDescent="0.25">
      <c r="E65" t="str">
        <f t="shared" si="1"/>
        <v/>
      </c>
      <c r="H65" s="6"/>
    </row>
    <row r="66" spans="5:8" x14ac:dyDescent="0.25">
      <c r="E66" t="str">
        <f t="shared" si="1"/>
        <v/>
      </c>
      <c r="H66" s="6"/>
    </row>
    <row r="67" spans="5:8" x14ac:dyDescent="0.25">
      <c r="E67" t="str">
        <f t="shared" si="1"/>
        <v/>
      </c>
      <c r="H67" s="6"/>
    </row>
    <row r="68" spans="5:8" x14ac:dyDescent="0.25">
      <c r="E68" t="str">
        <f t="shared" si="1"/>
        <v/>
      </c>
      <c r="H68" s="6"/>
    </row>
    <row r="69" spans="5:8" x14ac:dyDescent="0.25">
      <c r="E69" t="str">
        <f t="shared" ref="E69:E100" si="2">IF(F69&lt;&gt;"",ROW()-4,"")</f>
        <v/>
      </c>
      <c r="H69" s="6"/>
    </row>
    <row r="70" spans="5:8" x14ac:dyDescent="0.25">
      <c r="E70" t="str">
        <f t="shared" si="2"/>
        <v/>
      </c>
      <c r="H70" s="6"/>
    </row>
    <row r="71" spans="5:8" x14ac:dyDescent="0.25">
      <c r="E71" t="str">
        <f t="shared" si="2"/>
        <v/>
      </c>
      <c r="H71" s="6"/>
    </row>
    <row r="72" spans="5:8" x14ac:dyDescent="0.25">
      <c r="E72" t="str">
        <f t="shared" si="2"/>
        <v/>
      </c>
      <c r="H72" s="6"/>
    </row>
    <row r="73" spans="5:8" x14ac:dyDescent="0.25">
      <c r="E73" t="str">
        <f t="shared" si="2"/>
        <v/>
      </c>
      <c r="H73" s="6"/>
    </row>
    <row r="74" spans="5:8" x14ac:dyDescent="0.25">
      <c r="E74" t="str">
        <f t="shared" si="2"/>
        <v/>
      </c>
      <c r="H74" s="6"/>
    </row>
    <row r="75" spans="5:8" x14ac:dyDescent="0.25">
      <c r="E75" t="str">
        <f t="shared" si="2"/>
        <v/>
      </c>
      <c r="H75" s="6"/>
    </row>
    <row r="76" spans="5:8" x14ac:dyDescent="0.25">
      <c r="E76" t="str">
        <f t="shared" si="2"/>
        <v/>
      </c>
      <c r="H76" s="6"/>
    </row>
    <row r="77" spans="5:8" x14ac:dyDescent="0.25">
      <c r="E77" t="str">
        <f t="shared" si="2"/>
        <v/>
      </c>
      <c r="H77" s="6"/>
    </row>
    <row r="78" spans="5:8" x14ac:dyDescent="0.25">
      <c r="E78" t="str">
        <f t="shared" si="2"/>
        <v/>
      </c>
      <c r="H78" s="6"/>
    </row>
    <row r="79" spans="5:8" x14ac:dyDescent="0.25">
      <c r="E79" t="str">
        <f t="shared" si="2"/>
        <v/>
      </c>
      <c r="H79" s="6"/>
    </row>
    <row r="80" spans="5:8" x14ac:dyDescent="0.25">
      <c r="E80" t="str">
        <f t="shared" si="2"/>
        <v/>
      </c>
      <c r="H80" s="6"/>
    </row>
    <row r="81" spans="5:8" x14ac:dyDescent="0.25">
      <c r="E81" t="str">
        <f t="shared" si="2"/>
        <v/>
      </c>
      <c r="H81" s="6"/>
    </row>
    <row r="82" spans="5:8" x14ac:dyDescent="0.25">
      <c r="E82" t="str">
        <f t="shared" si="2"/>
        <v/>
      </c>
      <c r="H82" s="6"/>
    </row>
    <row r="83" spans="5:8" x14ac:dyDescent="0.25">
      <c r="E83" t="str">
        <f t="shared" si="2"/>
        <v/>
      </c>
      <c r="H83" s="6"/>
    </row>
    <row r="84" spans="5:8" x14ac:dyDescent="0.25">
      <c r="E84" t="str">
        <f t="shared" si="2"/>
        <v/>
      </c>
      <c r="H84" s="6"/>
    </row>
    <row r="85" spans="5:8" x14ac:dyDescent="0.25">
      <c r="E85" t="str">
        <f t="shared" si="2"/>
        <v/>
      </c>
      <c r="H85" s="6"/>
    </row>
    <row r="86" spans="5:8" x14ac:dyDescent="0.25">
      <c r="E86" t="str">
        <f t="shared" si="2"/>
        <v/>
      </c>
      <c r="H86" s="6"/>
    </row>
    <row r="87" spans="5:8" x14ac:dyDescent="0.25">
      <c r="E87" t="str">
        <f t="shared" si="2"/>
        <v/>
      </c>
      <c r="H87" s="6"/>
    </row>
    <row r="88" spans="5:8" x14ac:dyDescent="0.25">
      <c r="E88" t="str">
        <f t="shared" si="2"/>
        <v/>
      </c>
      <c r="H88" s="6"/>
    </row>
    <row r="89" spans="5:8" x14ac:dyDescent="0.25">
      <c r="E89" t="str">
        <f t="shared" si="2"/>
        <v/>
      </c>
      <c r="H89" s="6"/>
    </row>
    <row r="90" spans="5:8" x14ac:dyDescent="0.25">
      <c r="E90" t="str">
        <f t="shared" si="2"/>
        <v/>
      </c>
      <c r="H90" s="6"/>
    </row>
    <row r="91" spans="5:8" x14ac:dyDescent="0.25">
      <c r="E91" t="str">
        <f t="shared" si="2"/>
        <v/>
      </c>
      <c r="H91" s="6"/>
    </row>
    <row r="92" spans="5:8" x14ac:dyDescent="0.25">
      <c r="E92" t="str">
        <f t="shared" si="2"/>
        <v/>
      </c>
      <c r="H92" s="6"/>
    </row>
    <row r="93" spans="5:8" x14ac:dyDescent="0.25">
      <c r="E93" t="str">
        <f t="shared" si="2"/>
        <v/>
      </c>
      <c r="H93" s="6"/>
    </row>
    <row r="94" spans="5:8" x14ac:dyDescent="0.25">
      <c r="E94" t="str">
        <f t="shared" si="2"/>
        <v/>
      </c>
      <c r="H94" s="6"/>
    </row>
    <row r="95" spans="5:8" x14ac:dyDescent="0.25">
      <c r="E95" t="str">
        <f t="shared" si="2"/>
        <v/>
      </c>
      <c r="H95" s="6"/>
    </row>
    <row r="96" spans="5:8" x14ac:dyDescent="0.25">
      <c r="E96" t="str">
        <f t="shared" si="2"/>
        <v/>
      </c>
      <c r="H96" s="6"/>
    </row>
    <row r="97" spans="5:8" x14ac:dyDescent="0.25">
      <c r="E97" t="str">
        <f t="shared" si="2"/>
        <v/>
      </c>
      <c r="H97" s="6"/>
    </row>
    <row r="98" spans="5:8" x14ac:dyDescent="0.25">
      <c r="E98" t="str">
        <f t="shared" si="2"/>
        <v/>
      </c>
      <c r="H98" s="6"/>
    </row>
    <row r="99" spans="5:8" x14ac:dyDescent="0.25">
      <c r="E99" t="str">
        <f t="shared" si="2"/>
        <v/>
      </c>
      <c r="H99" s="6"/>
    </row>
    <row r="100" spans="5:8" x14ac:dyDescent="0.25">
      <c r="E100" t="str">
        <f t="shared" si="2"/>
        <v/>
      </c>
      <c r="H100" s="6"/>
    </row>
    <row r="101" spans="5:8" x14ac:dyDescent="0.25">
      <c r="E101" t="str">
        <f t="shared" ref="E101:E104" si="3">IF(F101&lt;&gt;"",ROW()-4,"")</f>
        <v/>
      </c>
      <c r="H101" s="6"/>
    </row>
    <row r="102" spans="5:8" x14ac:dyDescent="0.25">
      <c r="E102" t="str">
        <f t="shared" si="3"/>
        <v/>
      </c>
      <c r="H102" s="6"/>
    </row>
    <row r="103" spans="5:8" x14ac:dyDescent="0.25">
      <c r="E103" t="str">
        <f t="shared" si="3"/>
        <v/>
      </c>
      <c r="H103" s="6"/>
    </row>
    <row r="104" spans="5:8" x14ac:dyDescent="0.25">
      <c r="E104" t="str">
        <f t="shared" si="3"/>
        <v/>
      </c>
      <c r="H104" s="6"/>
    </row>
    <row r="105" spans="5:8" x14ac:dyDescent="0.25">
      <c r="E105" t="str">
        <f>IF(F105&lt;&gt;"",E104+1,"")</f>
        <v/>
      </c>
      <c r="H105" s="6"/>
    </row>
    <row r="106" spans="5:8" x14ac:dyDescent="0.25">
      <c r="H106" s="6"/>
    </row>
    <row r="107" spans="5:8" x14ac:dyDescent="0.25">
      <c r="H107" s="6"/>
    </row>
    <row r="108" spans="5:8" x14ac:dyDescent="0.25">
      <c r="H108" s="6"/>
    </row>
    <row r="109" spans="5:8" x14ac:dyDescent="0.25">
      <c r="H109" s="6"/>
    </row>
    <row r="110" spans="5:8" x14ac:dyDescent="0.25">
      <c r="H110" s="6"/>
    </row>
    <row r="111" spans="5:8" x14ac:dyDescent="0.25">
      <c r="H111" s="6"/>
    </row>
    <row r="112" spans="5:8" x14ac:dyDescent="0.25">
      <c r="H112" s="6"/>
    </row>
    <row r="113" spans="8:8" x14ac:dyDescent="0.25">
      <c r="H113" s="6"/>
    </row>
    <row r="114" spans="8:8" x14ac:dyDescent="0.25">
      <c r="H114" s="6"/>
    </row>
    <row r="115" spans="8:8" x14ac:dyDescent="0.25">
      <c r="H115" s="6"/>
    </row>
    <row r="116" spans="8:8" x14ac:dyDescent="0.25">
      <c r="H116" s="6"/>
    </row>
    <row r="117" spans="8:8" x14ac:dyDescent="0.25">
      <c r="H117" s="6"/>
    </row>
    <row r="118" spans="8:8" x14ac:dyDescent="0.25">
      <c r="H118" s="6"/>
    </row>
    <row r="119" spans="8:8" x14ac:dyDescent="0.25">
      <c r="H119" s="6"/>
    </row>
    <row r="120" spans="8:8" x14ac:dyDescent="0.25">
      <c r="H120" s="6"/>
    </row>
    <row r="121" spans="8:8" x14ac:dyDescent="0.25">
      <c r="H121" s="6"/>
    </row>
    <row r="122" spans="8:8" x14ac:dyDescent="0.25">
      <c r="H122" s="6"/>
    </row>
    <row r="123" spans="8:8" x14ac:dyDescent="0.25">
      <c r="H123" s="6"/>
    </row>
    <row r="124" spans="8:8" x14ac:dyDescent="0.25">
      <c r="H124" s="6"/>
    </row>
    <row r="125" spans="8:8" x14ac:dyDescent="0.25">
      <c r="H125" s="6"/>
    </row>
    <row r="126" spans="8:8" x14ac:dyDescent="0.25">
      <c r="H126" s="6"/>
    </row>
    <row r="127" spans="8:8" x14ac:dyDescent="0.25">
      <c r="H127" s="6"/>
    </row>
    <row r="128" spans="8:8" x14ac:dyDescent="0.25">
      <c r="H128" s="6"/>
    </row>
    <row r="129" spans="8:8" x14ac:dyDescent="0.25">
      <c r="H129" s="6"/>
    </row>
    <row r="130" spans="8:8" x14ac:dyDescent="0.25">
      <c r="H130" s="6"/>
    </row>
    <row r="131" spans="8:8" x14ac:dyDescent="0.25">
      <c r="H131" s="6"/>
    </row>
    <row r="132" spans="8:8" x14ac:dyDescent="0.25">
      <c r="H132" s="6"/>
    </row>
    <row r="133" spans="8:8" x14ac:dyDescent="0.25">
      <c r="H133" s="6"/>
    </row>
    <row r="134" spans="8:8" x14ac:dyDescent="0.25">
      <c r="H134" s="6"/>
    </row>
    <row r="135" spans="8:8" x14ac:dyDescent="0.25">
      <c r="H135" s="6"/>
    </row>
    <row r="136" spans="8:8" x14ac:dyDescent="0.25">
      <c r="H136" s="6"/>
    </row>
    <row r="137" spans="8:8" x14ac:dyDescent="0.25">
      <c r="H137" s="6"/>
    </row>
    <row r="138" spans="8:8" x14ac:dyDescent="0.25">
      <c r="H138" s="6"/>
    </row>
    <row r="139" spans="8:8" x14ac:dyDescent="0.25">
      <c r="H139" s="6"/>
    </row>
    <row r="140" spans="8:8" x14ac:dyDescent="0.25">
      <c r="H140" s="6"/>
    </row>
    <row r="141" spans="8:8" x14ac:dyDescent="0.25">
      <c r="H141" s="6"/>
    </row>
    <row r="142" spans="8:8" x14ac:dyDescent="0.25">
      <c r="H142" s="6"/>
    </row>
    <row r="143" spans="8:8" x14ac:dyDescent="0.25">
      <c r="H143" s="6"/>
    </row>
    <row r="144" spans="8:8" x14ac:dyDescent="0.25">
      <c r="H144" s="6"/>
    </row>
    <row r="145" spans="8:8" x14ac:dyDescent="0.25">
      <c r="H145" s="6"/>
    </row>
    <row r="146" spans="8:8" x14ac:dyDescent="0.25">
      <c r="H146" s="6"/>
    </row>
    <row r="147" spans="8:8" x14ac:dyDescent="0.25">
      <c r="H147" s="6"/>
    </row>
    <row r="148" spans="8:8" x14ac:dyDescent="0.25">
      <c r="H148" s="6"/>
    </row>
    <row r="149" spans="8:8" x14ac:dyDescent="0.25">
      <c r="H149" s="6"/>
    </row>
    <row r="150" spans="8:8" x14ac:dyDescent="0.25">
      <c r="H150" s="6"/>
    </row>
    <row r="151" spans="8:8" x14ac:dyDescent="0.25">
      <c r="H151" s="4"/>
    </row>
    <row r="152" spans="8:8" x14ac:dyDescent="0.25">
      <c r="H152" s="4"/>
    </row>
    <row r="153" spans="8:8" x14ac:dyDescent="0.25">
      <c r="H153" s="4"/>
    </row>
    <row r="154" spans="8:8" x14ac:dyDescent="0.25">
      <c r="H154" s="4"/>
    </row>
    <row r="155" spans="8:8" x14ac:dyDescent="0.25">
      <c r="H155" s="4"/>
    </row>
    <row r="156" spans="8:8" x14ac:dyDescent="0.25">
      <c r="H156" s="4"/>
    </row>
    <row r="157" spans="8:8" x14ac:dyDescent="0.25">
      <c r="H157" s="4"/>
    </row>
    <row r="158" spans="8:8" x14ac:dyDescent="0.25">
      <c r="H158" s="4"/>
    </row>
    <row r="159" spans="8:8" x14ac:dyDescent="0.25">
      <c r="H159" s="4"/>
    </row>
    <row r="160" spans="8:8" x14ac:dyDescent="0.25">
      <c r="H160" s="4"/>
    </row>
    <row r="161" spans="8:8" x14ac:dyDescent="0.25">
      <c r="H161" s="4"/>
    </row>
    <row r="162" spans="8:8" x14ac:dyDescent="0.25">
      <c r="H162" s="4"/>
    </row>
    <row r="163" spans="8:8" x14ac:dyDescent="0.25">
      <c r="H163" s="4"/>
    </row>
    <row r="164" spans="8:8" x14ac:dyDescent="0.25">
      <c r="H164" s="4"/>
    </row>
    <row r="165" spans="8:8" x14ac:dyDescent="0.25">
      <c r="H165" s="4"/>
    </row>
    <row r="166" spans="8:8" x14ac:dyDescent="0.25">
      <c r="H166" s="4"/>
    </row>
    <row r="167" spans="8:8" x14ac:dyDescent="0.25">
      <c r="H167" s="4"/>
    </row>
    <row r="168" spans="8:8" x14ac:dyDescent="0.25">
      <c r="H168" s="4"/>
    </row>
    <row r="169" spans="8:8" x14ac:dyDescent="0.25">
      <c r="H169" s="4"/>
    </row>
    <row r="170" spans="8:8" x14ac:dyDescent="0.25">
      <c r="H170" s="4"/>
    </row>
    <row r="171" spans="8:8" x14ac:dyDescent="0.25">
      <c r="H171" s="4"/>
    </row>
    <row r="172" spans="8:8" x14ac:dyDescent="0.25">
      <c r="H172" s="4"/>
    </row>
    <row r="173" spans="8:8" x14ac:dyDescent="0.25">
      <c r="H173" s="4"/>
    </row>
    <row r="174" spans="8:8" x14ac:dyDescent="0.25">
      <c r="H174" s="4"/>
    </row>
    <row r="175" spans="8:8" x14ac:dyDescent="0.25">
      <c r="H175" s="4"/>
    </row>
    <row r="176" spans="8:8" x14ac:dyDescent="0.25">
      <c r="H176" s="4"/>
    </row>
    <row r="177" spans="8:8" x14ac:dyDescent="0.25">
      <c r="H177" s="4"/>
    </row>
    <row r="178" spans="8:8" x14ac:dyDescent="0.25">
      <c r="H178" s="4"/>
    </row>
    <row r="179" spans="8:8" x14ac:dyDescent="0.25">
      <c r="H179" s="4"/>
    </row>
    <row r="180" spans="8:8" x14ac:dyDescent="0.25">
      <c r="H180" s="4"/>
    </row>
    <row r="181" spans="8:8" x14ac:dyDescent="0.25">
      <c r="H181" s="4"/>
    </row>
    <row r="182" spans="8:8" x14ac:dyDescent="0.25">
      <c r="H182" s="4"/>
    </row>
    <row r="183" spans="8:8" x14ac:dyDescent="0.25">
      <c r="H183" s="4"/>
    </row>
    <row r="184" spans="8:8" x14ac:dyDescent="0.25">
      <c r="H184" s="4"/>
    </row>
    <row r="185" spans="8:8" x14ac:dyDescent="0.25">
      <c r="H185" s="4"/>
    </row>
    <row r="186" spans="8:8" x14ac:dyDescent="0.25">
      <c r="H186" s="4"/>
    </row>
    <row r="187" spans="8:8" x14ac:dyDescent="0.25">
      <c r="H187" s="4"/>
    </row>
    <row r="188" spans="8:8" x14ac:dyDescent="0.25">
      <c r="H188" s="4"/>
    </row>
    <row r="189" spans="8:8" x14ac:dyDescent="0.25">
      <c r="H189" s="4"/>
    </row>
    <row r="190" spans="8:8" x14ac:dyDescent="0.25">
      <c r="H190" s="4"/>
    </row>
    <row r="191" spans="8:8" x14ac:dyDescent="0.25">
      <c r="H191" s="4"/>
    </row>
    <row r="192" spans="8:8" x14ac:dyDescent="0.25">
      <c r="H192" s="4"/>
    </row>
    <row r="193" spans="8:8" x14ac:dyDescent="0.25">
      <c r="H193" s="4"/>
    </row>
    <row r="194" spans="8:8" x14ac:dyDescent="0.25">
      <c r="H194" s="4"/>
    </row>
    <row r="195" spans="8:8" x14ac:dyDescent="0.25">
      <c r="H195" s="4"/>
    </row>
    <row r="196" spans="8:8" x14ac:dyDescent="0.25">
      <c r="H196" s="4"/>
    </row>
    <row r="197" spans="8:8" x14ac:dyDescent="0.25">
      <c r="H197" s="4"/>
    </row>
    <row r="198" spans="8:8" x14ac:dyDescent="0.25">
      <c r="H198" s="4"/>
    </row>
    <row r="199" spans="8:8" x14ac:dyDescent="0.25">
      <c r="H199" s="4"/>
    </row>
    <row r="200" spans="8:8" x14ac:dyDescent="0.25">
      <c r="H200" s="4"/>
    </row>
  </sheetData>
  <mergeCells count="12">
    <mergeCell ref="K1:N1"/>
    <mergeCell ref="L3:N3"/>
    <mergeCell ref="K8:N8"/>
    <mergeCell ref="A53:F53"/>
    <mergeCell ref="K15:N15"/>
    <mergeCell ref="K24:N24"/>
    <mergeCell ref="K25:N29"/>
    <mergeCell ref="A25:C25"/>
    <mergeCell ref="E3:I3"/>
    <mergeCell ref="A1:F1"/>
    <mergeCell ref="A3:C3"/>
    <mergeCell ref="A15:C15"/>
  </mergeCells>
  <conditionalFormatting sqref="G5:G105">
    <cfRule type="containsText" dxfId="5" priority="1" operator="containsText" text="ON">
      <formula>NOT(ISERROR(SEARCH("ON",G5)))</formula>
    </cfRule>
    <cfRule type="containsText" dxfId="4" priority="2" operator="containsText" text="OFF">
      <formula>NOT(ISERROR(SEARCH("OFF",G5)))</formula>
    </cfRule>
  </conditionalFormatting>
  <dataValidations disablePrompts="1" count="3">
    <dataValidation type="list" allowBlank="1" showInputMessage="1" showErrorMessage="1" sqref="B17" xr:uid="{7A9EB4CB-8851-4E04-BDFB-7A6D7518800D}">
      <formula1>"100,200,300,400,500"</formula1>
    </dataValidation>
    <dataValidation type="list" allowBlank="1" showInputMessage="1" showErrorMessage="1" sqref="B18" xr:uid="{B19C832E-C618-48B0-BF20-203E3B691EEA}">
      <formula1>"2,4,6,8"</formula1>
    </dataValidation>
    <dataValidation type="list" allowBlank="1" showInputMessage="1" showErrorMessage="1" sqref="B19" xr:uid="{D3ADE607-88BF-4599-A6F6-A5854C6E902C}">
      <formula1>"1,2,3,4,5,6"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22192B-BCC7-4CD2-996F-A9552153156D}">
  <dimension ref="A1:AF206"/>
  <sheetViews>
    <sheetView tabSelected="1" zoomScale="85" zoomScaleNormal="85" workbookViewId="0">
      <selection activeCell="P9" sqref="P9"/>
    </sheetView>
  </sheetViews>
  <sheetFormatPr defaultRowHeight="15" x14ac:dyDescent="0.25"/>
  <cols>
    <col min="1" max="1" width="33.7109375" style="44" customWidth="1"/>
    <col min="2" max="3" width="13.28515625" style="44" customWidth="1"/>
    <col min="4" max="4" width="15.28515625" style="44" customWidth="1"/>
    <col min="5" max="5" width="19" style="44" customWidth="1"/>
    <col min="6" max="6" width="5.7109375" style="44" customWidth="1"/>
    <col min="7" max="7" width="37" style="44" customWidth="1"/>
    <col min="8" max="9" width="13.28515625" style="44" customWidth="1"/>
    <col min="10" max="10" width="15.28515625" style="44" customWidth="1"/>
    <col min="11" max="11" width="25" style="44" customWidth="1"/>
    <col min="12" max="12" width="13" style="44" customWidth="1"/>
    <col min="13" max="13" width="11.85546875" style="44" customWidth="1"/>
    <col min="14" max="15" width="5.7109375" style="44" customWidth="1"/>
    <col min="16" max="16" width="30.42578125" style="44" customWidth="1"/>
    <col min="17" max="17" width="26.7109375" style="44" customWidth="1"/>
    <col min="18" max="18" width="17.140625" style="44" customWidth="1"/>
    <col min="19" max="19" width="21" style="44" customWidth="1"/>
    <col min="20" max="20" width="9.140625" style="44"/>
    <col min="21" max="21" width="14.140625" style="44" bestFit="1" customWidth="1"/>
    <col min="22" max="22" width="8.7109375" style="44" bestFit="1" customWidth="1"/>
    <col min="23" max="23" width="8.140625" style="44" bestFit="1" customWidth="1"/>
    <col min="24" max="16384" width="9.140625" style="44"/>
  </cols>
  <sheetData>
    <row r="1" spans="1:32" ht="18.75" x14ac:dyDescent="0.3">
      <c r="A1" s="100" t="s">
        <v>138</v>
      </c>
      <c r="B1" s="101"/>
      <c r="C1" s="101"/>
      <c r="D1" s="101"/>
      <c r="E1" s="101"/>
      <c r="G1" s="105" t="s">
        <v>139</v>
      </c>
      <c r="H1" s="101"/>
      <c r="I1" s="101"/>
      <c r="J1" s="101"/>
      <c r="K1" s="101"/>
      <c r="P1" s="68" t="s">
        <v>164</v>
      </c>
      <c r="Q1" s="69"/>
      <c r="R1"/>
      <c r="S1"/>
    </row>
    <row r="2" spans="1:32" ht="15.75" thickBot="1" x14ac:dyDescent="0.3">
      <c r="P2" s="45"/>
      <c r="Q2" s="46"/>
      <c r="R2"/>
      <c r="S2"/>
    </row>
    <row r="3" spans="1:32" x14ac:dyDescent="0.25">
      <c r="A3" s="102" t="s">
        <v>7</v>
      </c>
      <c r="B3" s="103"/>
      <c r="C3" s="103"/>
      <c r="D3" s="104"/>
      <c r="G3" s="106" t="s">
        <v>7</v>
      </c>
      <c r="H3" s="103"/>
      <c r="I3" s="103"/>
      <c r="J3" s="104"/>
      <c r="P3" s="48" t="s">
        <v>55</v>
      </c>
      <c r="Q3" s="71" t="s">
        <v>162</v>
      </c>
      <c r="R3"/>
      <c r="S3"/>
    </row>
    <row r="4" spans="1:32" x14ac:dyDescent="0.25">
      <c r="A4" s="82" t="s">
        <v>8</v>
      </c>
      <c r="B4" s="50" t="s">
        <v>23</v>
      </c>
      <c r="C4" s="50" t="s">
        <v>39</v>
      </c>
      <c r="D4" s="83" t="s">
        <v>5</v>
      </c>
      <c r="G4" s="75" t="s">
        <v>8</v>
      </c>
      <c r="H4" s="51" t="s">
        <v>23</v>
      </c>
      <c r="I4" s="51" t="s">
        <v>39</v>
      </c>
      <c r="J4" s="76" t="s">
        <v>5</v>
      </c>
      <c r="P4" s="45"/>
      <c r="Q4" s="46"/>
      <c r="R4"/>
      <c r="S4"/>
    </row>
    <row r="5" spans="1:32" x14ac:dyDescent="0.25">
      <c r="A5" s="77" t="s">
        <v>11</v>
      </c>
      <c r="B5" s="7">
        <f ca="1">COUNTA(INDIRECT("'"&amp;$Q$3&amp;"'!"&amp;$Q$6&amp;":"&amp;$Q$6))</f>
        <v>994</v>
      </c>
      <c r="C5" s="47" t="s">
        <v>41</v>
      </c>
      <c r="D5" s="78"/>
      <c r="G5" s="77" t="s">
        <v>11</v>
      </c>
      <c r="H5" s="7">
        <f ca="1">COUNTA(INDIRECT("'"&amp;$Q$3&amp;"'!"&amp;$Q$7&amp;":"&amp;$Q$7))</f>
        <v>994</v>
      </c>
      <c r="I5" s="47" t="s">
        <v>41</v>
      </c>
      <c r="J5" s="78"/>
      <c r="P5" s="45" t="s">
        <v>57</v>
      </c>
      <c r="Q5" s="72" t="s">
        <v>58</v>
      </c>
      <c r="R5"/>
      <c r="S5"/>
    </row>
    <row r="6" spans="1:32" x14ac:dyDescent="0.25">
      <c r="A6" s="77" t="s">
        <v>106</v>
      </c>
      <c r="B6" s="7" cm="1">
        <f t="array" aca="1" ref="B6" ca="1">SUMPRODUCT((INDIRECT("'"&amp;$Q$3&amp;"'!"&amp;$Q$6&amp;":"&amp;$Q$6)=1)*1)</f>
        <v>0</v>
      </c>
      <c r="C6" s="47" t="s">
        <v>41</v>
      </c>
      <c r="D6" s="78"/>
      <c r="G6" s="77" t="s">
        <v>106</v>
      </c>
      <c r="H6" s="7" cm="1">
        <f t="array" aca="1" ref="H6" ca="1">SUMPRODUCT((INDIRECT("'"&amp;$Q$3&amp;"'!"&amp;$Q$7&amp;":"&amp;$Q$7)=1)*1)</f>
        <v>122</v>
      </c>
      <c r="I6" s="47" t="s">
        <v>41</v>
      </c>
      <c r="J6" s="78"/>
      <c r="P6" s="45" t="s">
        <v>122</v>
      </c>
      <c r="Q6" s="73" t="s">
        <v>104</v>
      </c>
      <c r="R6"/>
      <c r="S6"/>
    </row>
    <row r="7" spans="1:32" x14ac:dyDescent="0.25">
      <c r="A7" s="77" t="s">
        <v>107</v>
      </c>
      <c r="B7" s="7">
        <f ca="1">B5-B6</f>
        <v>994</v>
      </c>
      <c r="C7" s="47" t="s">
        <v>41</v>
      </c>
      <c r="D7" s="78"/>
      <c r="G7" s="77" t="s">
        <v>107</v>
      </c>
      <c r="H7" s="7">
        <f ca="1">H5-H6</f>
        <v>872</v>
      </c>
      <c r="I7" s="47" t="s">
        <v>41</v>
      </c>
      <c r="J7" s="78"/>
      <c r="P7" s="45" t="s">
        <v>59</v>
      </c>
      <c r="Q7" s="74" t="s">
        <v>60</v>
      </c>
      <c r="R7"/>
      <c r="S7"/>
    </row>
    <row r="8" spans="1:32" x14ac:dyDescent="0.25">
      <c r="A8" s="77" t="s">
        <v>14</v>
      </c>
      <c r="B8" s="7">
        <f ca="1">IFERROR(B6/B5*100,0)</f>
        <v>0</v>
      </c>
      <c r="C8" s="47" t="s">
        <v>30</v>
      </c>
      <c r="D8" s="78"/>
      <c r="G8" s="77" t="s">
        <v>14</v>
      </c>
      <c r="H8" s="7">
        <f ca="1">IFERROR(H6/H5*100,0)</f>
        <v>12.273641851106639</v>
      </c>
      <c r="I8" s="47" t="s">
        <v>30</v>
      </c>
      <c r="J8" s="78"/>
      <c r="P8" s="45"/>
      <c r="Q8" s="46"/>
      <c r="R8"/>
      <c r="S8"/>
    </row>
    <row r="9" spans="1:32" x14ac:dyDescent="0.25">
      <c r="A9" s="77" t="s">
        <v>15</v>
      </c>
      <c r="B9" s="7" cm="1">
        <f t="array" aca="1" ref="B9" ca="1">SUMPRODUCT((INDIRECT("'"&amp;$Q$3&amp;"'!"&amp;$Q$6&amp;"2:"&amp;$Q$6&amp;"10000")=1)*(INDIRECT("'"&amp;$Q$3&amp;"'!"&amp;$Q$6&amp;"1:"&amp;$Q$6&amp;"9999")=0)*1)</f>
        <v>0</v>
      </c>
      <c r="C9" s="47" t="s">
        <v>42</v>
      </c>
      <c r="D9" s="78" t="s">
        <v>108</v>
      </c>
      <c r="G9" s="77" t="s">
        <v>15</v>
      </c>
      <c r="H9" s="7" cm="1">
        <f t="array" aca="1" ref="H9" ca="1">SUMPRODUCT((INDIRECT("'"&amp;$Q$3&amp;"'!"&amp;$Q$7&amp;"2:"&amp;$Q$7&amp;"10000")=1)*(INDIRECT("'"&amp;$Q$3&amp;"'!"&amp;$Q$7&amp;"1:"&amp;$Q$7&amp;"9999")=0)*1)</f>
        <v>33</v>
      </c>
      <c r="I9" s="47" t="s">
        <v>42</v>
      </c>
      <c r="J9" s="78" t="s">
        <v>108</v>
      </c>
      <c r="P9" s="70" t="s">
        <v>165</v>
      </c>
      <c r="Q9" s="46"/>
      <c r="R9"/>
      <c r="S9"/>
      <c r="U9"/>
      <c r="V9"/>
      <c r="W9"/>
      <c r="X9"/>
      <c r="Y9"/>
      <c r="Z9"/>
      <c r="AA9"/>
      <c r="AB9"/>
      <c r="AC9"/>
      <c r="AD9"/>
      <c r="AE9"/>
      <c r="AF9"/>
    </row>
    <row r="10" spans="1:32" x14ac:dyDescent="0.25">
      <c r="A10" s="77" t="s">
        <v>16</v>
      </c>
      <c r="B10" s="7" cm="1">
        <f t="array" aca="1" ref="B10" ca="1">SUMPRODUCT((INDIRECT("'"&amp;$Q$3&amp;"'!"&amp;$Q$6&amp;"2:"&amp;$Q$6&amp;"10000")=0)*(INDIRECT("'"&amp;$Q$3&amp;"'!"&amp;$Q$6&amp;"1:"&amp;$Q$6&amp;"9999")=1)*1)</f>
        <v>0</v>
      </c>
      <c r="C10" s="47" t="s">
        <v>42</v>
      </c>
      <c r="D10" s="78" t="s">
        <v>109</v>
      </c>
      <c r="G10" s="77" t="s">
        <v>16</v>
      </c>
      <c r="H10" s="7" cm="1">
        <f t="array" aca="1" ref="H10" ca="1">SUMPRODUCT((INDIRECT("'"&amp;$Q$3&amp;"'!"&amp;$Q$7&amp;"2:"&amp;$Q$7&amp;"10000")=0)*(INDIRECT("'"&amp;$Q$3&amp;"'!"&amp;$Q$7&amp;"1:"&amp;$Q$7&amp;"9999")=1)*1)</f>
        <v>33</v>
      </c>
      <c r="I10" s="47" t="s">
        <v>42</v>
      </c>
      <c r="J10" s="78" t="s">
        <v>109</v>
      </c>
      <c r="P10" s="45"/>
      <c r="Q10" s="46"/>
      <c r="R10"/>
      <c r="S10"/>
    </row>
    <row r="11" spans="1:32" x14ac:dyDescent="0.25">
      <c r="A11" s="77" t="s">
        <v>17</v>
      </c>
      <c r="B11" s="7">
        <f ca="1">B9+B10</f>
        <v>0</v>
      </c>
      <c r="C11" s="47" t="s">
        <v>42</v>
      </c>
      <c r="D11" s="78"/>
      <c r="G11" s="77" t="s">
        <v>17</v>
      </c>
      <c r="H11" s="7">
        <f ca="1">H9+H10</f>
        <v>66</v>
      </c>
      <c r="I11" s="47" t="s">
        <v>42</v>
      </c>
      <c r="J11" s="78"/>
      <c r="P11" s="45"/>
      <c r="Q11" s="46"/>
      <c r="R11"/>
      <c r="S11"/>
    </row>
    <row r="12" spans="1:32" ht="15.75" thickBot="1" x14ac:dyDescent="0.3">
      <c r="A12" s="79" t="s">
        <v>21</v>
      </c>
      <c r="B12" s="84">
        <f ca="1">$Q$15</f>
        <v>10.002999999997186</v>
      </c>
      <c r="C12" s="80" t="s">
        <v>43</v>
      </c>
      <c r="D12" s="81"/>
      <c r="G12" s="79" t="s">
        <v>21</v>
      </c>
      <c r="H12" s="84">
        <f ca="1">$Q$15</f>
        <v>10.002999999997186</v>
      </c>
      <c r="I12" s="80" t="s">
        <v>43</v>
      </c>
      <c r="J12" s="81"/>
      <c r="P12" s="45" t="s">
        <v>66</v>
      </c>
      <c r="Q12" s="31">
        <f ca="1">IFERROR($Q$15/($Q$13-1),0.009802419)</f>
        <v>1.0073514602212674E-2</v>
      </c>
      <c r="R12"/>
      <c r="S12"/>
    </row>
    <row r="13" spans="1:32" ht="15.75" thickBot="1" x14ac:dyDescent="0.3">
      <c r="P13" s="45" t="s">
        <v>75</v>
      </c>
      <c r="Q13" s="31">
        <f ca="1">COUNTA(INDIRECT("'"&amp;$Q$3&amp;"'!"&amp;$Q$5&amp;":"&amp;$Q$5))</f>
        <v>994</v>
      </c>
      <c r="R13"/>
      <c r="S13"/>
    </row>
    <row r="14" spans="1:32" x14ac:dyDescent="0.25">
      <c r="A14" s="102" t="s">
        <v>137</v>
      </c>
      <c r="B14" s="103"/>
      <c r="C14" s="103"/>
      <c r="D14" s="103"/>
      <c r="E14" s="104"/>
      <c r="G14" s="106" t="s">
        <v>140</v>
      </c>
      <c r="H14" s="103"/>
      <c r="I14" s="103"/>
      <c r="J14" s="103"/>
      <c r="K14" s="104"/>
      <c r="P14" s="45" t="s">
        <v>76</v>
      </c>
      <c r="Q14" s="31">
        <f ca="1">IFERROR(1/$Q$12,0)</f>
        <v>99.270218934347639</v>
      </c>
      <c r="R14"/>
      <c r="S14"/>
    </row>
    <row r="15" spans="1:32" x14ac:dyDescent="0.25">
      <c r="A15" s="82" t="s">
        <v>8</v>
      </c>
      <c r="B15" s="50" t="s">
        <v>63</v>
      </c>
      <c r="C15" s="50" t="s">
        <v>64</v>
      </c>
      <c r="D15" s="50" t="s">
        <v>65</v>
      </c>
      <c r="E15" s="83" t="s">
        <v>5</v>
      </c>
      <c r="G15" s="75" t="s">
        <v>8</v>
      </c>
      <c r="H15" s="51" t="s">
        <v>63</v>
      </c>
      <c r="I15" s="51" t="s">
        <v>64</v>
      </c>
      <c r="J15" s="51" t="s">
        <v>65</v>
      </c>
      <c r="K15" s="76" t="s">
        <v>5</v>
      </c>
      <c r="P15" s="49" t="s">
        <v>105</v>
      </c>
      <c r="Q15" s="32" cm="1">
        <f t="array" aca="1" ref="Q15" ca="1">IFERROR((INDIRECT("'"&amp;$Q$3&amp;"'!A"&amp;$Q$13)-INDIRECT("'"&amp;$Q$3&amp;"'!A2"))*86400,0)</f>
        <v>10.002999999997186</v>
      </c>
      <c r="R15" s="52"/>
    </row>
    <row r="16" spans="1:32" x14ac:dyDescent="0.25">
      <c r="A16" s="77" t="s">
        <v>110</v>
      </c>
      <c r="B16" s="7">
        <f ca="1">IFERROR((B6/B9)*$Q$12*1000000,0)</f>
        <v>0</v>
      </c>
      <c r="C16" s="7">
        <f ca="1">B16/1000</f>
        <v>0</v>
      </c>
      <c r="D16" s="7">
        <f ca="1">C16/1000</f>
        <v>0</v>
      </c>
      <c r="E16" s="78" t="s">
        <v>113</v>
      </c>
      <c r="G16" s="77" t="s">
        <v>110</v>
      </c>
      <c r="H16" s="7">
        <f ca="1">IFERROR((H6/H9)*$Q$12*1000000,0)</f>
        <v>37241.478226362007</v>
      </c>
      <c r="I16" s="7">
        <f ca="1">H16/1000</f>
        <v>37.241478226362005</v>
      </c>
      <c r="J16" s="7">
        <f ca="1">I16/1000</f>
        <v>3.7241478226362007E-2</v>
      </c>
      <c r="K16" s="78" t="s">
        <v>113</v>
      </c>
      <c r="P16" s="66" t="s">
        <v>130</v>
      </c>
      <c r="Q16" s="66" t="s">
        <v>131</v>
      </c>
      <c r="R16" s="66" t="s">
        <v>30</v>
      </c>
    </row>
    <row r="17" spans="1:27" x14ac:dyDescent="0.25">
      <c r="A17" s="77" t="s">
        <v>111</v>
      </c>
      <c r="B17" s="7">
        <f ca="1">IFERROR((B7/B10)*$Q$12*1000000,0)</f>
        <v>0</v>
      </c>
      <c r="C17" s="7">
        <f ca="1">B17/1000</f>
        <v>0</v>
      </c>
      <c r="D17" s="7">
        <f ca="1">C17/1000</f>
        <v>0</v>
      </c>
      <c r="E17" s="78" t="s">
        <v>114</v>
      </c>
      <c r="G17" s="77" t="s">
        <v>111</v>
      </c>
      <c r="H17" s="7">
        <f ca="1">IFERROR((H7/H10)*$Q$12*1000000,0)</f>
        <v>266184.99191301368</v>
      </c>
      <c r="I17" s="7">
        <f ca="1">H17/1000</f>
        <v>266.18499191301368</v>
      </c>
      <c r="J17" s="7">
        <f ca="1">I17/1000</f>
        <v>0.2661849919130137</v>
      </c>
      <c r="K17" s="78" t="s">
        <v>114</v>
      </c>
      <c r="P17" s="47" t="s">
        <v>132</v>
      </c>
      <c r="Q17" s="7">
        <f ca="1">B6</f>
        <v>0</v>
      </c>
      <c r="R17" s="85">
        <f ca="1">IF(Q17+Q18=0,0,Q17/(Q17+Q18)*100)</f>
        <v>0</v>
      </c>
    </row>
    <row r="18" spans="1:27" x14ac:dyDescent="0.25">
      <c r="A18" s="77" t="s">
        <v>112</v>
      </c>
      <c r="B18" s="7">
        <f ca="1">B16+B17</f>
        <v>0</v>
      </c>
      <c r="C18" s="7">
        <f ca="1">C16+C17</f>
        <v>0</v>
      </c>
      <c r="D18" s="7">
        <f ca="1">D16+D17</f>
        <v>0</v>
      </c>
      <c r="E18" s="78" t="s">
        <v>103</v>
      </c>
      <c r="G18" s="77" t="s">
        <v>112</v>
      </c>
      <c r="H18" s="7">
        <f ca="1">H16+H17</f>
        <v>303426.47013937571</v>
      </c>
      <c r="I18" s="7">
        <f ca="1">I16+I17</f>
        <v>303.42647013937568</v>
      </c>
      <c r="J18" s="7">
        <f ca="1">J16+J17</f>
        <v>0.30342647013937574</v>
      </c>
      <c r="K18" s="78" t="s">
        <v>103</v>
      </c>
      <c r="P18" s="47" t="s">
        <v>133</v>
      </c>
      <c r="Q18" s="7">
        <f ca="1">B5-Q17</f>
        <v>994</v>
      </c>
      <c r="R18" s="85">
        <f ca="1">IF(B5=0,0,Q18/B5)</f>
        <v>1</v>
      </c>
    </row>
    <row r="19" spans="1:27" x14ac:dyDescent="0.25">
      <c r="A19" s="77" t="s">
        <v>48</v>
      </c>
      <c r="B19" s="7">
        <f ca="1">$Q$12*1000000</f>
        <v>10073.514602212674</v>
      </c>
      <c r="C19" s="7">
        <f ca="1">B19/1000</f>
        <v>10.073514602212674</v>
      </c>
      <c r="D19" s="7">
        <f ca="1">C19/1000</f>
        <v>1.0073514602212674E-2</v>
      </c>
      <c r="E19" s="78" t="s">
        <v>70</v>
      </c>
      <c r="G19" s="77" t="s">
        <v>48</v>
      </c>
      <c r="H19" s="7">
        <f ca="1">$Q$12*1000000</f>
        <v>10073.514602212674</v>
      </c>
      <c r="I19" s="7">
        <f ca="1">H19/1000</f>
        <v>10.073514602212674</v>
      </c>
      <c r="J19" s="7">
        <f ca="1">I19/1000</f>
        <v>1.0073514602212674E-2</v>
      </c>
      <c r="K19" s="78" t="s">
        <v>70</v>
      </c>
      <c r="P19" s="47"/>
      <c r="Q19" s="47"/>
      <c r="R19" s="47"/>
    </row>
    <row r="20" spans="1:27" ht="15.75" thickBot="1" x14ac:dyDescent="0.3">
      <c r="A20" s="79" t="s">
        <v>49</v>
      </c>
      <c r="B20" s="84">
        <f ca="1">B16*2</f>
        <v>0</v>
      </c>
      <c r="C20" s="84">
        <f ca="1">B20/1000</f>
        <v>0</v>
      </c>
      <c r="D20" s="84">
        <f ca="1">C20/1000</f>
        <v>0</v>
      </c>
      <c r="E20" s="81" t="s">
        <v>71</v>
      </c>
      <c r="G20" s="79" t="s">
        <v>49</v>
      </c>
      <c r="H20" s="84">
        <f ca="1">H16*2</f>
        <v>74482.956452724015</v>
      </c>
      <c r="I20" s="84">
        <f ca="1">H20/1000</f>
        <v>74.482956452724011</v>
      </c>
      <c r="J20" s="84">
        <f ca="1">I20/1000</f>
        <v>7.4482956452724014E-2</v>
      </c>
      <c r="K20" s="81" t="s">
        <v>71</v>
      </c>
      <c r="P20" s="67" t="s">
        <v>134</v>
      </c>
      <c r="Q20" s="67" t="s">
        <v>131</v>
      </c>
      <c r="R20" s="67" t="s">
        <v>30</v>
      </c>
    </row>
    <row r="21" spans="1:27" x14ac:dyDescent="0.25">
      <c r="P21" s="47" t="s">
        <v>132</v>
      </c>
      <c r="Q21" s="7">
        <f ca="1">H6</f>
        <v>122</v>
      </c>
      <c r="R21" s="85">
        <f ca="1">IF(Q21+Q22=0,0,Q21/(Q21+Q22)*100)</f>
        <v>12.273641851106639</v>
      </c>
    </row>
    <row r="22" spans="1:27" x14ac:dyDescent="0.25">
      <c r="P22" s="47" t="s">
        <v>133</v>
      </c>
      <c r="Q22" s="7">
        <f ca="1">H5-Q21</f>
        <v>872</v>
      </c>
      <c r="R22" s="85">
        <f ca="1">IF(H5=0,0,Q22/H5)</f>
        <v>0.87726358148893357</v>
      </c>
    </row>
    <row r="23" spans="1:27" ht="132" customHeight="1" x14ac:dyDescent="0.25"/>
    <row r="24" spans="1:27" ht="15.75" x14ac:dyDescent="0.25">
      <c r="A24" s="92" t="s">
        <v>136</v>
      </c>
      <c r="B24" s="93"/>
      <c r="C24" s="93"/>
      <c r="D24" s="93"/>
      <c r="G24" s="65" t="s">
        <v>141</v>
      </c>
      <c r="H24" s="65"/>
      <c r="I24" s="65"/>
      <c r="J24" s="65"/>
      <c r="K24" s="65"/>
      <c r="L24" s="65"/>
    </row>
    <row r="25" spans="1:27" x14ac:dyDescent="0.25">
      <c r="A25" s="53" t="s">
        <v>8</v>
      </c>
      <c r="B25" s="53" t="s">
        <v>23</v>
      </c>
      <c r="C25" s="53" t="s">
        <v>39</v>
      </c>
      <c r="D25" s="53" t="s">
        <v>5</v>
      </c>
      <c r="G25" s="54" t="s">
        <v>8</v>
      </c>
      <c r="H25" s="54" t="s">
        <v>115</v>
      </c>
      <c r="I25" s="54" t="s">
        <v>116</v>
      </c>
      <c r="J25" s="54" t="s">
        <v>117</v>
      </c>
      <c r="K25" s="54" t="s">
        <v>39</v>
      </c>
      <c r="L25" s="54" t="s">
        <v>118</v>
      </c>
    </row>
    <row r="26" spans="1:27" x14ac:dyDescent="0.25">
      <c r="A26" s="47" t="s">
        <v>24</v>
      </c>
      <c r="B26" s="55">
        <v>200</v>
      </c>
      <c r="C26" s="47" t="s">
        <v>44</v>
      </c>
      <c r="D26" s="47" t="s">
        <v>123</v>
      </c>
      <c r="G26" s="47" t="s">
        <v>119</v>
      </c>
      <c r="H26" s="7">
        <f ca="1">B6</f>
        <v>0</v>
      </c>
      <c r="I26" s="7">
        <f ca="1">H6</f>
        <v>122</v>
      </c>
      <c r="J26" s="7">
        <f ca="1">ABS(I26-H26)</f>
        <v>122</v>
      </c>
      <c r="K26" s="47" t="s">
        <v>41</v>
      </c>
      <c r="L26" s="7" t="str">
        <f ca="1">IF(I26&gt;H26,"IN_2 &gt; IN_1",IF(H26&gt;I26,"IN_1 &gt; IN_2","Bằng nhau"))</f>
        <v>IN_2 &gt; IN_1</v>
      </c>
    </row>
    <row r="27" spans="1:27" x14ac:dyDescent="0.25">
      <c r="A27" s="47" t="s">
        <v>25</v>
      </c>
      <c r="B27" s="55">
        <v>6</v>
      </c>
      <c r="C27" s="47" t="s">
        <v>26</v>
      </c>
      <c r="D27" s="47" t="s">
        <v>123</v>
      </c>
      <c r="G27" s="47" t="s">
        <v>14</v>
      </c>
      <c r="H27" s="7">
        <f ca="1">B8</f>
        <v>0</v>
      </c>
      <c r="I27" s="7">
        <f ca="1">H8</f>
        <v>12.273641851106639</v>
      </c>
      <c r="J27" s="7">
        <f ca="1">ABS(I27-H27)</f>
        <v>12.273641851106639</v>
      </c>
      <c r="K27" s="47" t="s">
        <v>30</v>
      </c>
      <c r="L27" s="7" t="str">
        <f ca="1">IF(I27&gt;H27,"IN_2 &gt; IN_1",IF(H27&gt;I27,"IN_1 &gt; IN_2","Bằng nhau"))</f>
        <v>IN_2 &gt; IN_1</v>
      </c>
      <c r="O27"/>
      <c r="P27"/>
      <c r="Q27"/>
      <c r="R27"/>
      <c r="S27"/>
    </row>
    <row r="28" spans="1:27" x14ac:dyDescent="0.25">
      <c r="A28" s="47" t="s">
        <v>34</v>
      </c>
      <c r="B28" s="55">
        <v>1</v>
      </c>
      <c r="C28" s="47" t="s">
        <v>26</v>
      </c>
      <c r="D28" s="47" t="s">
        <v>123</v>
      </c>
      <c r="G28" s="47" t="s">
        <v>120</v>
      </c>
      <c r="H28" s="7">
        <f ca="1">B9</f>
        <v>0</v>
      </c>
      <c r="I28" s="7">
        <f ca="1">H9</f>
        <v>33</v>
      </c>
      <c r="J28" s="7">
        <f ca="1">ABS(I28-H28)</f>
        <v>33</v>
      </c>
      <c r="K28" s="47" t="s">
        <v>42</v>
      </c>
      <c r="L28" s="7" t="str">
        <f ca="1">IF(I28&gt;H28,"IN_2 &gt; IN_1",IF(H28&gt;I28,"IN_1 &gt; IN_2","Bằng nhau"))</f>
        <v>IN_2 &gt; IN_1</v>
      </c>
      <c r="O28"/>
      <c r="P28"/>
      <c r="Q28"/>
      <c r="R28"/>
      <c r="S28"/>
    </row>
    <row r="29" spans="1:27" x14ac:dyDescent="0.25">
      <c r="A29" s="47" t="s">
        <v>31</v>
      </c>
      <c r="B29" s="7">
        <f ca="1">$Q$15</f>
        <v>10.002999999997186</v>
      </c>
      <c r="C29" s="47" t="s">
        <v>43</v>
      </c>
      <c r="D29" s="47"/>
      <c r="G29" s="47" t="s">
        <v>121</v>
      </c>
      <c r="H29" s="7">
        <f ca="1">C16</f>
        <v>0</v>
      </c>
      <c r="I29" s="7">
        <f ca="1">I16</f>
        <v>37.241478226362005</v>
      </c>
      <c r="J29" s="7">
        <f ca="1">ABS(I29-H29)</f>
        <v>37.241478226362005</v>
      </c>
      <c r="K29" s="47" t="s">
        <v>40</v>
      </c>
      <c r="L29" s="7" t="str">
        <f ca="1">IF(I29&gt;H29,"IN_2 &gt; IN_1",IF(H29&gt;I29,"IN_1 &gt; IN_2","Bằng nhau"))</f>
        <v>IN_2 &gt; IN_1</v>
      </c>
      <c r="O29"/>
      <c r="P29"/>
      <c r="Q29"/>
      <c r="R29"/>
      <c r="S29"/>
      <c r="X29" s="97" t="s">
        <v>163</v>
      </c>
      <c r="Y29" s="98"/>
      <c r="Z29" s="98"/>
      <c r="AA29" s="99"/>
    </row>
    <row r="30" spans="1:27" x14ac:dyDescent="0.25">
      <c r="A30" s="47" t="s">
        <v>27</v>
      </c>
      <c r="B30" s="7">
        <f ca="1">(B26/60)*B29</f>
        <v>33.343333333323955</v>
      </c>
      <c r="C30" s="47" t="s">
        <v>45</v>
      </c>
      <c r="D30" s="47"/>
      <c r="G30" s="56" t="s">
        <v>144</v>
      </c>
      <c r="H30" s="7">
        <f ca="1">IFERROR(MIN(B9,B32)/MAX(B9,B32)*100,0)</f>
        <v>0</v>
      </c>
      <c r="I30" s="7">
        <f ca="1">IFERROR(MIN(H9,B32)/MAX(H9,B32)*100,0)</f>
        <v>100</v>
      </c>
      <c r="J30" s="47"/>
      <c r="K30" s="47" t="s">
        <v>30</v>
      </c>
      <c r="L30" s="7" t="str">
        <f t="shared" ref="L30" ca="1" si="0">IF(I30&gt;H30,"IN_2 &gt; IN_1",IF(H30&gt;I30,"IN_1 &gt; IN_2","Bằng nhau"))</f>
        <v>IN_2 &gt; IN_1</v>
      </c>
      <c r="O30"/>
      <c r="P30"/>
      <c r="Q30"/>
      <c r="R30"/>
      <c r="S30"/>
      <c r="X30" s="50" t="s">
        <v>39</v>
      </c>
      <c r="Y30" s="50" t="s">
        <v>78</v>
      </c>
      <c r="Z30" s="50" t="s">
        <v>79</v>
      </c>
      <c r="AA30" s="50" t="s">
        <v>9</v>
      </c>
    </row>
    <row r="31" spans="1:27" x14ac:dyDescent="0.25">
      <c r="A31" s="47" t="s">
        <v>124</v>
      </c>
      <c r="B31" s="7">
        <f ca="1">ROUNDDOWN(B30*B27,0)</f>
        <v>200</v>
      </c>
      <c r="C31" s="47" t="s">
        <v>46</v>
      </c>
      <c r="D31" s="47"/>
      <c r="G31" s="7"/>
      <c r="H31" s="7"/>
      <c r="I31" s="7"/>
      <c r="J31" s="7"/>
      <c r="K31" s="7"/>
      <c r="L31" s="7"/>
      <c r="O31"/>
      <c r="P31"/>
      <c r="Q31"/>
      <c r="R31"/>
      <c r="S31"/>
      <c r="X31" s="47" t="s">
        <v>80</v>
      </c>
      <c r="Y31" s="47" t="s">
        <v>81</v>
      </c>
      <c r="Z31" s="47" t="s">
        <v>82</v>
      </c>
      <c r="AA31" s="47" t="s">
        <v>83</v>
      </c>
    </row>
    <row r="32" spans="1:27" x14ac:dyDescent="0.25">
      <c r="A32" s="47" t="s">
        <v>38</v>
      </c>
      <c r="B32" s="7">
        <f ca="1">ROUNDDOWN(B30*B28,0)</f>
        <v>33</v>
      </c>
      <c r="C32" s="47" t="s">
        <v>33</v>
      </c>
      <c r="D32" s="47"/>
      <c r="O32"/>
      <c r="P32"/>
      <c r="Q32"/>
      <c r="R32"/>
      <c r="S32"/>
      <c r="X32" s="47" t="s">
        <v>84</v>
      </c>
      <c r="Y32" s="47" t="s">
        <v>81</v>
      </c>
      <c r="Z32" s="47" t="s">
        <v>85</v>
      </c>
      <c r="AA32" s="47" t="s">
        <v>86</v>
      </c>
    </row>
    <row r="33" spans="1:27" x14ac:dyDescent="0.25">
      <c r="O33"/>
      <c r="P33"/>
      <c r="Q33"/>
      <c r="R33"/>
      <c r="S33"/>
      <c r="X33" s="47" t="s">
        <v>87</v>
      </c>
      <c r="Y33" s="47" t="s">
        <v>88</v>
      </c>
      <c r="Z33" s="47" t="s">
        <v>82</v>
      </c>
      <c r="AA33" s="47" t="s">
        <v>89</v>
      </c>
    </row>
    <row r="34" spans="1:27" x14ac:dyDescent="0.25">
      <c r="O34"/>
      <c r="P34"/>
      <c r="Q34"/>
      <c r="R34"/>
      <c r="S34"/>
      <c r="X34" s="47" t="s">
        <v>90</v>
      </c>
      <c r="Y34" s="47" t="s">
        <v>91</v>
      </c>
      <c r="Z34" s="47" t="s">
        <v>92</v>
      </c>
      <c r="AA34" s="47" t="s">
        <v>93</v>
      </c>
    </row>
    <row r="35" spans="1:27" ht="15.75" x14ac:dyDescent="0.25">
      <c r="A35" s="94" t="s">
        <v>142</v>
      </c>
      <c r="B35" s="94"/>
      <c r="C35" s="94"/>
      <c r="D35" s="94"/>
      <c r="E35" s="94"/>
      <c r="G35" s="95" t="s">
        <v>143</v>
      </c>
      <c r="H35" s="96"/>
      <c r="I35" s="96"/>
      <c r="J35" s="96"/>
      <c r="K35" s="96"/>
      <c r="O35"/>
      <c r="P35"/>
      <c r="Q35"/>
      <c r="R35"/>
      <c r="S35"/>
      <c r="X35" s="47" t="s">
        <v>94</v>
      </c>
      <c r="Y35" s="47" t="s">
        <v>91</v>
      </c>
      <c r="Z35" s="47" t="s">
        <v>85</v>
      </c>
      <c r="AA35" s="47" t="s">
        <v>95</v>
      </c>
    </row>
    <row r="36" spans="1:27" x14ac:dyDescent="0.25">
      <c r="A36" s="57" t="s">
        <v>3</v>
      </c>
      <c r="B36" s="58" t="s">
        <v>0</v>
      </c>
      <c r="C36" s="58" t="s">
        <v>4</v>
      </c>
      <c r="D36" s="58" t="s">
        <v>20</v>
      </c>
      <c r="E36" s="59" t="s">
        <v>53</v>
      </c>
      <c r="G36" s="62" t="s">
        <v>3</v>
      </c>
      <c r="H36" s="63" t="s">
        <v>0</v>
      </c>
      <c r="I36" s="63" t="s">
        <v>4</v>
      </c>
      <c r="J36" s="63" t="s">
        <v>20</v>
      </c>
      <c r="K36" s="64" t="s">
        <v>53</v>
      </c>
      <c r="O36"/>
      <c r="P36"/>
      <c r="Q36"/>
      <c r="R36"/>
      <c r="S36"/>
      <c r="X36" s="47" t="s">
        <v>96</v>
      </c>
      <c r="Y36" s="47" t="s">
        <v>97</v>
      </c>
      <c r="Z36" s="47" t="s">
        <v>92</v>
      </c>
      <c r="AA36" s="47" t="s">
        <v>98</v>
      </c>
    </row>
    <row r="37" spans="1:27" x14ac:dyDescent="0.25">
      <c r="A37" s="60">
        <v>1</v>
      </c>
      <c r="B37" s="86" t="str" cm="1">
        <f t="array" aca="1" ref="B3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1),"")</f>
        <v/>
      </c>
      <c r="C37" s="86" t="str" cm="1">
        <f t="array" aca="1" ref="C37" ca="1">IF(B37="","",IF(INDIRECT("'"&amp;$Q$3&amp;"'!"&amp;$Q$6&amp;(B37+1))=1,"ON","OFF"))</f>
        <v/>
      </c>
      <c r="D37" s="87" t="str" cm="1">
        <f t="array" aca="1" ref="D37" ca="1">IF(B37="","",IFERROR((INDIRECT("'"&amp;$Q$3&amp;"'!A"&amp;(B37+1))-INDIRECT("'"&amp;$Q$3&amp;"'!A2"))*86400,""))</f>
        <v/>
      </c>
      <c r="E37" s="88" t="str">
        <f t="shared" ref="E37:E68" ca="1" si="1">IF(OR(B37="",B38=""),"",ROUND((D38-D37)*1000,0))</f>
        <v/>
      </c>
      <c r="G37" s="60">
        <v>1</v>
      </c>
      <c r="H37" s="86" cm="1">
        <f t="array" aca="1" ref="H3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1),"")</f>
        <v>18</v>
      </c>
      <c r="I37" s="86" t="str" cm="1">
        <f t="array" aca="1" ref="I37" ca="1">IF(H37="","",IF(INDIRECT("'"&amp;$Q$3&amp;"'!"&amp;$Q$7&amp;(H37+1))=1,"ON","OFF"))</f>
        <v>OFF</v>
      </c>
      <c r="J37" s="87" cm="1">
        <f t="array" aca="1" ref="J37" ca="1">IF(H37="","",IFERROR((INDIRECT("'"&amp;$Q$3&amp;"'!A"&amp;(H37+1))-INDIRECT("'"&amp;$Q$3&amp;"'!A2"))*86400,""))</f>
        <v>0.16999999999391946</v>
      </c>
      <c r="K37" s="88">
        <f t="shared" ref="K37:K68" ca="1" si="2">IF(OR(H37="",H38=""),"",ROUND((J38-J37)*1000,0))</f>
        <v>40</v>
      </c>
    </row>
    <row r="38" spans="1:27" x14ac:dyDescent="0.25">
      <c r="A38" s="60">
        <v>2</v>
      </c>
      <c r="B38" s="86" t="str" cm="1">
        <f t="array" aca="1" ref="B3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2),"")</f>
        <v/>
      </c>
      <c r="C38" s="86" t="str" cm="1">
        <f t="array" aca="1" ref="C38" ca="1">IF(B38="","",IF(INDIRECT("'"&amp;$Q$3&amp;"'!"&amp;$Q$6&amp;(B38+1))=1,"ON","OFF"))</f>
        <v/>
      </c>
      <c r="D38" s="87" t="str" cm="1">
        <f t="array" aca="1" ref="D38" ca="1">IF(B38="","",IFERROR((INDIRECT("'"&amp;$Q$3&amp;"'!A"&amp;(B38+1))-INDIRECT("'"&amp;$Q$3&amp;"'!A2"))*86400,""))</f>
        <v/>
      </c>
      <c r="E38" s="88" t="str">
        <f t="shared" ca="1" si="1"/>
        <v/>
      </c>
      <c r="G38" s="60">
        <v>2</v>
      </c>
      <c r="H38" s="86" cm="1">
        <f t="array" aca="1" ref="H3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2),"")</f>
        <v>22</v>
      </c>
      <c r="I38" s="86" t="str" cm="1">
        <f t="array" aca="1" ref="I38" ca="1">IF(H38="","",IF(INDIRECT("'"&amp;$Q$3&amp;"'!"&amp;$Q$7&amp;(H38+1))=1,"ON","OFF"))</f>
        <v>ON</v>
      </c>
      <c r="J38" s="87" cm="1">
        <f t="array" aca="1" ref="J38" ca="1">IF(H38="","",IFERROR((INDIRECT("'"&amp;$Q$3&amp;"'!A"&amp;(H38+1))-INDIRECT("'"&amp;$Q$3&amp;"'!A2"))*86400,""))</f>
        <v>0.20999999999418151</v>
      </c>
      <c r="K38" s="88">
        <f t="shared" ca="1" si="2"/>
        <v>259</v>
      </c>
    </row>
    <row r="39" spans="1:27" x14ac:dyDescent="0.25">
      <c r="A39" s="60">
        <v>3</v>
      </c>
      <c r="B39" s="86" t="str" cm="1">
        <f t="array" aca="1" ref="B3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3),"")</f>
        <v/>
      </c>
      <c r="C39" s="86" t="str" cm="1">
        <f t="array" aca="1" ref="C39" ca="1">IF(B39="","",IF(INDIRECT("'"&amp;$Q$3&amp;"'!"&amp;$Q$6&amp;(B39+1))=1,"ON","OFF"))</f>
        <v/>
      </c>
      <c r="D39" s="87" t="str" cm="1">
        <f t="array" aca="1" ref="D39" ca="1">IF(B39="","",IFERROR((INDIRECT("'"&amp;$Q$3&amp;"'!A"&amp;(B39+1))-INDIRECT("'"&amp;$Q$3&amp;"'!A2"))*86400,""))</f>
        <v/>
      </c>
      <c r="E39" s="88" t="str">
        <f t="shared" ca="1" si="1"/>
        <v/>
      </c>
      <c r="G39" s="60">
        <v>3</v>
      </c>
      <c r="H39" s="86" cm="1">
        <f t="array" aca="1" ref="H3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3),"")</f>
        <v>48</v>
      </c>
      <c r="I39" s="86" t="str" cm="1">
        <f t="array" aca="1" ref="I39" ca="1">IF(H39="","",IF(INDIRECT("'"&amp;$Q$3&amp;"'!"&amp;$Q$7&amp;(H39+1))=1,"ON","OFF"))</f>
        <v>OFF</v>
      </c>
      <c r="J39" s="87" cm="1">
        <f t="array" aca="1" ref="J39" ca="1">IF(H39="","",IFERROR((INDIRECT("'"&amp;$Q$3&amp;"'!A"&amp;(H39+1))-INDIRECT("'"&amp;$Q$3&amp;"'!A2"))*86400,""))</f>
        <v>0.46899999999467923</v>
      </c>
      <c r="K39" s="88">
        <f t="shared" ca="1" si="2"/>
        <v>40</v>
      </c>
    </row>
    <row r="40" spans="1:27" x14ac:dyDescent="0.25">
      <c r="A40" s="60">
        <v>4</v>
      </c>
      <c r="B40" s="86" t="str" cm="1">
        <f t="array" aca="1" ref="B4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4),"")</f>
        <v/>
      </c>
      <c r="C40" s="86" t="str" cm="1">
        <f t="array" aca="1" ref="C40" ca="1">IF(B40="","",IF(INDIRECT("'"&amp;$Q$3&amp;"'!"&amp;$Q$6&amp;(B40+1))=1,"ON","OFF"))</f>
        <v/>
      </c>
      <c r="D40" s="87" t="str" cm="1">
        <f t="array" aca="1" ref="D40" ca="1">IF(B40="","",IFERROR((INDIRECT("'"&amp;$Q$3&amp;"'!A"&amp;(B40+1))-INDIRECT("'"&amp;$Q$3&amp;"'!A2"))*86400,""))</f>
        <v/>
      </c>
      <c r="E40" s="88" t="str">
        <f t="shared" ca="1" si="1"/>
        <v/>
      </c>
      <c r="G40" s="60">
        <v>4</v>
      </c>
      <c r="H40" s="86" cm="1">
        <f t="array" aca="1" ref="H4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4),"")</f>
        <v>52</v>
      </c>
      <c r="I40" s="86" t="str" cm="1">
        <f t="array" aca="1" ref="I40" ca="1">IF(H40="","",IF(INDIRECT("'"&amp;$Q$3&amp;"'!"&amp;$Q$7&amp;(H40+1))=1,"ON","OFF"))</f>
        <v>ON</v>
      </c>
      <c r="J40" s="87" cm="1">
        <f t="array" aca="1" ref="J40" ca="1">IF(H40="","",IFERROR((INDIRECT("'"&amp;$Q$3&amp;"'!A"&amp;(H40+1))-INDIRECT("'"&amp;$Q$3&amp;"'!A2"))*86400,""))</f>
        <v>0.50899999999494128</v>
      </c>
      <c r="K40" s="88">
        <f t="shared" ca="1" si="2"/>
        <v>260</v>
      </c>
    </row>
    <row r="41" spans="1:27" x14ac:dyDescent="0.25">
      <c r="A41" s="60">
        <v>5</v>
      </c>
      <c r="B41" s="86" t="str" cm="1">
        <f t="array" aca="1" ref="B4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5),"")</f>
        <v/>
      </c>
      <c r="C41" s="86" t="str" cm="1">
        <f t="array" aca="1" ref="C41" ca="1">IF(B41="","",IF(INDIRECT("'"&amp;$Q$3&amp;"'!"&amp;$Q$6&amp;(B41+1))=1,"ON","OFF"))</f>
        <v/>
      </c>
      <c r="D41" s="87" t="str" cm="1">
        <f t="array" aca="1" ref="D41" ca="1">IF(B41="","",IFERROR((INDIRECT("'"&amp;$Q$3&amp;"'!A"&amp;(B41+1))-INDIRECT("'"&amp;$Q$3&amp;"'!A2"))*86400,""))</f>
        <v/>
      </c>
      <c r="E41" s="88" t="str">
        <f t="shared" ca="1" si="1"/>
        <v/>
      </c>
      <c r="G41" s="60">
        <v>5</v>
      </c>
      <c r="H41" s="86" cm="1">
        <f t="array" aca="1" ref="H4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5),"")</f>
        <v>78</v>
      </c>
      <c r="I41" s="86" t="str" cm="1">
        <f t="array" aca="1" ref="I41" ca="1">IF(H41="","",IF(INDIRECT("'"&amp;$Q$3&amp;"'!"&amp;$Q$7&amp;(H41+1))=1,"ON","OFF"))</f>
        <v>OFF</v>
      </c>
      <c r="J41" s="87" cm="1">
        <f t="array" aca="1" ref="J41" ca="1">IF(H41="","",IFERROR((INDIRECT("'"&amp;$Q$3&amp;"'!A"&amp;(H41+1))-INDIRECT("'"&amp;$Q$3&amp;"'!A2"))*86400,""))</f>
        <v>0.76900000000144075</v>
      </c>
      <c r="K41" s="88">
        <f t="shared" ca="1" si="2"/>
        <v>39</v>
      </c>
    </row>
    <row r="42" spans="1:27" x14ac:dyDescent="0.25">
      <c r="A42" s="60">
        <v>6</v>
      </c>
      <c r="B42" s="86" t="str" cm="1">
        <f t="array" aca="1" ref="B4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6),"")</f>
        <v/>
      </c>
      <c r="C42" s="86" t="str" cm="1">
        <f t="array" aca="1" ref="C42" ca="1">IF(B42="","",IF(INDIRECT("'"&amp;$Q$3&amp;"'!"&amp;$Q$6&amp;(B42+1))=1,"ON","OFF"))</f>
        <v/>
      </c>
      <c r="D42" s="87" t="str" cm="1">
        <f t="array" aca="1" ref="D42" ca="1">IF(B42="","",IFERROR((INDIRECT("'"&amp;$Q$3&amp;"'!A"&amp;(B42+1))-INDIRECT("'"&amp;$Q$3&amp;"'!A2"))*86400,""))</f>
        <v/>
      </c>
      <c r="E42" s="88" t="str">
        <f t="shared" ca="1" si="1"/>
        <v/>
      </c>
      <c r="G42" s="60">
        <v>6</v>
      </c>
      <c r="H42" s="86" cm="1">
        <f t="array" aca="1" ref="H4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6),"")</f>
        <v>82</v>
      </c>
      <c r="I42" s="86" t="str" cm="1">
        <f t="array" aca="1" ref="I42" ca="1">IF(H42="","",IF(INDIRECT("'"&amp;$Q$3&amp;"'!"&amp;$Q$7&amp;(H42+1))=1,"ON","OFF"))</f>
        <v>ON</v>
      </c>
      <c r="J42" s="87" cm="1">
        <f t="array" aca="1" ref="J42" ca="1">IF(H42="","",IFERROR((INDIRECT("'"&amp;$Q$3&amp;"'!A"&amp;(H42+1))-INDIRECT("'"&amp;$Q$3&amp;"'!A2"))*86400,""))</f>
        <v>0.80799999999570105</v>
      </c>
      <c r="K42" s="88">
        <f t="shared" ca="1" si="2"/>
        <v>260</v>
      </c>
    </row>
    <row r="43" spans="1:27" x14ac:dyDescent="0.25">
      <c r="A43" s="60">
        <v>7</v>
      </c>
      <c r="B43" s="86" t="str" cm="1">
        <f t="array" aca="1" ref="B4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7),"")</f>
        <v/>
      </c>
      <c r="C43" s="86" t="str" cm="1">
        <f t="array" aca="1" ref="C43" ca="1">IF(B43="","",IF(INDIRECT("'"&amp;$Q$3&amp;"'!"&amp;$Q$6&amp;(B43+1))=1,"ON","OFF"))</f>
        <v/>
      </c>
      <c r="D43" s="87" t="str" cm="1">
        <f t="array" aca="1" ref="D43" ca="1">IF(B43="","",IFERROR((INDIRECT("'"&amp;$Q$3&amp;"'!A"&amp;(B43+1))-INDIRECT("'"&amp;$Q$3&amp;"'!A2"))*86400,""))</f>
        <v/>
      </c>
      <c r="E43" s="88" t="str">
        <f t="shared" ca="1" si="1"/>
        <v/>
      </c>
      <c r="G43" s="60">
        <v>7</v>
      </c>
      <c r="H43" s="86" cm="1">
        <f t="array" aca="1" ref="H4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7),"")</f>
        <v>107</v>
      </c>
      <c r="I43" s="86" t="str" cm="1">
        <f t="array" aca="1" ref="I43" ca="1">IF(H43="","",IF(INDIRECT("'"&amp;$Q$3&amp;"'!"&amp;$Q$7&amp;(H43+1))=1,"ON","OFF"))</f>
        <v>OFF</v>
      </c>
      <c r="J43" s="87" cm="1">
        <f t="array" aca="1" ref="J43" ca="1">IF(H43="","",IFERROR((INDIRECT("'"&amp;$Q$3&amp;"'!A"&amp;(H43+1))-INDIRECT("'"&amp;$Q$3&amp;"'!A2"))*86400,""))</f>
        <v>1.0680000000022005</v>
      </c>
      <c r="K43" s="88">
        <f t="shared" ca="1" si="2"/>
        <v>40</v>
      </c>
    </row>
    <row r="44" spans="1:27" x14ac:dyDescent="0.25">
      <c r="A44" s="60">
        <v>8</v>
      </c>
      <c r="B44" s="86" t="str" cm="1">
        <f t="array" aca="1" ref="B4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8),"")</f>
        <v/>
      </c>
      <c r="C44" s="86" t="str" cm="1">
        <f t="array" aca="1" ref="C44" ca="1">IF(B44="","",IF(INDIRECT("'"&amp;$Q$3&amp;"'!"&amp;$Q$6&amp;(B44+1))=1,"ON","OFF"))</f>
        <v/>
      </c>
      <c r="D44" s="87" t="str" cm="1">
        <f t="array" aca="1" ref="D44" ca="1">IF(B44="","",IFERROR((INDIRECT("'"&amp;$Q$3&amp;"'!A"&amp;(B44+1))-INDIRECT("'"&amp;$Q$3&amp;"'!A2"))*86400,""))</f>
        <v/>
      </c>
      <c r="E44" s="88" t="str">
        <f t="shared" ca="1" si="1"/>
        <v/>
      </c>
      <c r="G44" s="60">
        <v>8</v>
      </c>
      <c r="H44" s="86" cm="1">
        <f t="array" aca="1" ref="H4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8),"")</f>
        <v>111</v>
      </c>
      <c r="I44" s="86" t="str" cm="1">
        <f t="array" aca="1" ref="I44" ca="1">IF(H44="","",IF(INDIRECT("'"&amp;$Q$3&amp;"'!"&amp;$Q$7&amp;(H44+1))=1,"ON","OFF"))</f>
        <v>ON</v>
      </c>
      <c r="J44" s="87" cm="1">
        <f t="array" aca="1" ref="J44" ca="1">IF(H44="","",IFERROR((INDIRECT("'"&amp;$Q$3&amp;"'!A"&amp;(H44+1))-INDIRECT("'"&amp;$Q$3&amp;"'!A2"))*86400,""))</f>
        <v>1.1080000000024626</v>
      </c>
      <c r="K44" s="88">
        <f t="shared" ca="1" si="2"/>
        <v>260</v>
      </c>
    </row>
    <row r="45" spans="1:27" x14ac:dyDescent="0.25">
      <c r="A45" s="60">
        <v>9</v>
      </c>
      <c r="B45" s="86" t="str" cm="1">
        <f t="array" aca="1" ref="B4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9),"")</f>
        <v/>
      </c>
      <c r="C45" s="86" t="str" cm="1">
        <f t="array" aca="1" ref="C45" ca="1">IF(B45="","",IF(INDIRECT("'"&amp;$Q$3&amp;"'!"&amp;$Q$6&amp;(B45+1))=1,"ON","OFF"))</f>
        <v/>
      </c>
      <c r="D45" s="87" t="str" cm="1">
        <f t="array" aca="1" ref="D45" ca="1">IF(B45="","",IFERROR((INDIRECT("'"&amp;$Q$3&amp;"'!A"&amp;(B45+1))-INDIRECT("'"&amp;$Q$3&amp;"'!A2"))*86400,""))</f>
        <v/>
      </c>
      <c r="E45" s="88" t="str">
        <f t="shared" ca="1" si="1"/>
        <v/>
      </c>
      <c r="G45" s="60">
        <v>9</v>
      </c>
      <c r="H45" s="86" cm="1">
        <f t="array" aca="1" ref="H4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9),"")</f>
        <v>137</v>
      </c>
      <c r="I45" s="86" t="str" cm="1">
        <f t="array" aca="1" ref="I45" ca="1">IF(H45="","",IF(INDIRECT("'"&amp;$Q$3&amp;"'!"&amp;$Q$7&amp;(H45+1))=1,"ON","OFF"))</f>
        <v>OFF</v>
      </c>
      <c r="J45" s="87" cm="1">
        <f t="array" aca="1" ref="J45" ca="1">IF(H45="","",IFERROR((INDIRECT("'"&amp;$Q$3&amp;"'!A"&amp;(H45+1))-INDIRECT("'"&amp;$Q$3&amp;"'!A2"))*86400,""))</f>
        <v>1.3679999999993697</v>
      </c>
      <c r="K45" s="88">
        <f t="shared" ca="1" si="2"/>
        <v>40</v>
      </c>
    </row>
    <row r="46" spans="1:27" x14ac:dyDescent="0.25">
      <c r="A46" s="60">
        <v>10</v>
      </c>
      <c r="B46" s="86" t="str" cm="1">
        <f t="array" aca="1" ref="B4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10),"")</f>
        <v/>
      </c>
      <c r="C46" s="86" t="str" cm="1">
        <f t="array" aca="1" ref="C46" ca="1">IF(B46="","",IF(INDIRECT("'"&amp;$Q$3&amp;"'!"&amp;$Q$6&amp;(B46+1))=1,"ON","OFF"))</f>
        <v/>
      </c>
      <c r="D46" s="87" t="str" cm="1">
        <f t="array" aca="1" ref="D46" ca="1">IF(B46="","",IFERROR((INDIRECT("'"&amp;$Q$3&amp;"'!A"&amp;(B46+1))-INDIRECT("'"&amp;$Q$3&amp;"'!A2"))*86400,""))</f>
        <v/>
      </c>
      <c r="E46" s="88" t="str">
        <f t="shared" ca="1" si="1"/>
        <v/>
      </c>
      <c r="G46" s="60">
        <v>10</v>
      </c>
      <c r="H46" s="86" cm="1">
        <f t="array" aca="1" ref="H4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10),"")</f>
        <v>141</v>
      </c>
      <c r="I46" s="86" t="str" cm="1">
        <f t="array" aca="1" ref="I46" ca="1">IF(H46="","",IF(INDIRECT("'"&amp;$Q$3&amp;"'!"&amp;$Q$7&amp;(H46+1))=1,"ON","OFF"))</f>
        <v>ON</v>
      </c>
      <c r="J46" s="87" cm="1">
        <f t="array" aca="1" ref="J46" ca="1">IF(H46="","",IFERROR((INDIRECT("'"&amp;$Q$3&amp;"'!A"&amp;(H46+1))-INDIRECT("'"&amp;$Q$3&amp;"'!A2"))*86400,""))</f>
        <v>1.4079999999996318</v>
      </c>
      <c r="K46" s="88">
        <f t="shared" ca="1" si="2"/>
        <v>259</v>
      </c>
    </row>
    <row r="47" spans="1:27" x14ac:dyDescent="0.25">
      <c r="A47" s="60">
        <v>11</v>
      </c>
      <c r="B47" s="86" t="str" cm="1">
        <f t="array" aca="1" ref="B4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11),"")</f>
        <v/>
      </c>
      <c r="C47" s="86" t="str" cm="1">
        <f t="array" aca="1" ref="C47" ca="1">IF(B47="","",IF(INDIRECT("'"&amp;$Q$3&amp;"'!"&amp;$Q$6&amp;(B47+1))=1,"ON","OFF"))</f>
        <v/>
      </c>
      <c r="D47" s="87" t="str" cm="1">
        <f t="array" aca="1" ref="D47" ca="1">IF(B47="","",IFERROR((INDIRECT("'"&amp;$Q$3&amp;"'!A"&amp;(B47+1))-INDIRECT("'"&amp;$Q$3&amp;"'!A2"))*86400,""))</f>
        <v/>
      </c>
      <c r="E47" s="88" t="str">
        <f t="shared" ca="1" si="1"/>
        <v/>
      </c>
      <c r="G47" s="60">
        <v>11</v>
      </c>
      <c r="H47" s="86" cm="1">
        <f t="array" aca="1" ref="H4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11),"")</f>
        <v>167</v>
      </c>
      <c r="I47" s="86" t="str" cm="1">
        <f t="array" aca="1" ref="I47" ca="1">IF(H47="","",IF(INDIRECT("'"&amp;$Q$3&amp;"'!"&amp;$Q$7&amp;(H47+1))=1,"ON","OFF"))</f>
        <v>OFF</v>
      </c>
      <c r="J47" s="87" cm="1">
        <f t="array" aca="1" ref="J47" ca="1">IF(H47="","",IFERROR((INDIRECT("'"&amp;$Q$3&amp;"'!A"&amp;(H47+1))-INDIRECT("'"&amp;$Q$3&amp;"'!A2"))*86400,""))</f>
        <v>1.6670000000001295</v>
      </c>
      <c r="K47" s="88">
        <f t="shared" ca="1" si="2"/>
        <v>40</v>
      </c>
    </row>
    <row r="48" spans="1:27" x14ac:dyDescent="0.25">
      <c r="A48" s="60">
        <v>12</v>
      </c>
      <c r="B48" s="86" t="str" cm="1">
        <f t="array" aca="1" ref="B4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12),"")</f>
        <v/>
      </c>
      <c r="C48" s="86" t="str" cm="1">
        <f t="array" aca="1" ref="C48" ca="1">IF(B48="","",IF(INDIRECT("'"&amp;$Q$3&amp;"'!"&amp;$Q$6&amp;(B48+1))=1,"ON","OFF"))</f>
        <v/>
      </c>
      <c r="D48" s="87" t="str" cm="1">
        <f t="array" aca="1" ref="D48" ca="1">IF(B48="","",IFERROR((INDIRECT("'"&amp;$Q$3&amp;"'!A"&amp;(B48+1))-INDIRECT("'"&amp;$Q$3&amp;"'!A2"))*86400,""))</f>
        <v/>
      </c>
      <c r="E48" s="88" t="str">
        <f t="shared" ca="1" si="1"/>
        <v/>
      </c>
      <c r="G48" s="60">
        <v>12</v>
      </c>
      <c r="H48" s="86" cm="1">
        <f t="array" aca="1" ref="H4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12),"")</f>
        <v>171</v>
      </c>
      <c r="I48" s="86" t="str" cm="1">
        <f t="array" aca="1" ref="I48" ca="1">IF(H48="","",IF(INDIRECT("'"&amp;$Q$3&amp;"'!"&amp;$Q$7&amp;(H48+1))=1,"ON","OFF"))</f>
        <v>ON</v>
      </c>
      <c r="J48" s="87" cm="1">
        <f t="array" aca="1" ref="J48" ca="1">IF(H48="","",IFERROR((INDIRECT("'"&amp;$Q$3&amp;"'!A"&amp;(H48+1))-INDIRECT("'"&amp;$Q$3&amp;"'!A2"))*86400,""))</f>
        <v>1.7070000000003915</v>
      </c>
      <c r="K48" s="88">
        <f t="shared" ca="1" si="2"/>
        <v>260</v>
      </c>
    </row>
    <row r="49" spans="1:11" x14ac:dyDescent="0.25">
      <c r="A49" s="60">
        <v>13</v>
      </c>
      <c r="B49" s="86" t="str" cm="1">
        <f t="array" aca="1" ref="B4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13),"")</f>
        <v/>
      </c>
      <c r="C49" s="86" t="str" cm="1">
        <f t="array" aca="1" ref="C49" ca="1">IF(B49="","",IF(INDIRECT("'"&amp;$Q$3&amp;"'!"&amp;$Q$6&amp;(B49+1))=1,"ON","OFF"))</f>
        <v/>
      </c>
      <c r="D49" s="87" t="str" cm="1">
        <f t="array" aca="1" ref="D49" ca="1">IF(B49="","",IFERROR((INDIRECT("'"&amp;$Q$3&amp;"'!A"&amp;(B49+1))-INDIRECT("'"&amp;$Q$3&amp;"'!A2"))*86400,""))</f>
        <v/>
      </c>
      <c r="E49" s="88" t="str">
        <f t="shared" ca="1" si="1"/>
        <v/>
      </c>
      <c r="G49" s="60">
        <v>13</v>
      </c>
      <c r="H49" s="86" cm="1">
        <f t="array" aca="1" ref="H4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13),"")</f>
        <v>196</v>
      </c>
      <c r="I49" s="86" t="str" cm="1">
        <f t="array" aca="1" ref="I49" ca="1">IF(H49="","",IF(INDIRECT("'"&amp;$Q$3&amp;"'!"&amp;$Q$7&amp;(H49+1))=1,"ON","OFF"))</f>
        <v>OFF</v>
      </c>
      <c r="J49" s="87" cm="1">
        <f t="array" aca="1" ref="J49" ca="1">IF(H49="","",IFERROR((INDIRECT("'"&amp;$Q$3&amp;"'!A"&amp;(H49+1))-INDIRECT("'"&amp;$Q$3&amp;"'!A2"))*86400,""))</f>
        <v>1.9669999999972987</v>
      </c>
      <c r="K49" s="88">
        <f t="shared" ca="1" si="2"/>
        <v>40</v>
      </c>
    </row>
    <row r="50" spans="1:11" x14ac:dyDescent="0.25">
      <c r="A50" s="60">
        <v>14</v>
      </c>
      <c r="B50" s="86" t="str" cm="1">
        <f t="array" aca="1" ref="B5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14),"")</f>
        <v/>
      </c>
      <c r="C50" s="86" t="str" cm="1">
        <f t="array" aca="1" ref="C50" ca="1">IF(B50="","",IF(INDIRECT("'"&amp;$Q$3&amp;"'!"&amp;$Q$6&amp;(B50+1))=1,"ON","OFF"))</f>
        <v/>
      </c>
      <c r="D50" s="87" t="str" cm="1">
        <f t="array" aca="1" ref="D50" ca="1">IF(B50="","",IFERROR((INDIRECT("'"&amp;$Q$3&amp;"'!A"&amp;(B50+1))-INDIRECT("'"&amp;$Q$3&amp;"'!A2"))*86400,""))</f>
        <v/>
      </c>
      <c r="E50" s="88" t="str">
        <f t="shared" ca="1" si="1"/>
        <v/>
      </c>
      <c r="G50" s="60">
        <v>14</v>
      </c>
      <c r="H50" s="86" cm="1">
        <f t="array" aca="1" ref="H5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14),"")</f>
        <v>200</v>
      </c>
      <c r="I50" s="86" t="str" cm="1">
        <f t="array" aca="1" ref="I50" ca="1">IF(H50="","",IF(INDIRECT("'"&amp;$Q$3&amp;"'!"&amp;$Q$7&amp;(H50+1))=1,"ON","OFF"))</f>
        <v>ON</v>
      </c>
      <c r="J50" s="87" cm="1">
        <f t="array" aca="1" ref="J50" ca="1">IF(H50="","",IFERROR((INDIRECT("'"&amp;$Q$3&amp;"'!A"&amp;(H50+1))-INDIRECT("'"&amp;$Q$3&amp;"'!A2"))*86400,""))</f>
        <v>2.0069999999975607</v>
      </c>
      <c r="K50" s="88">
        <f t="shared" ca="1" si="2"/>
        <v>259</v>
      </c>
    </row>
    <row r="51" spans="1:11" x14ac:dyDescent="0.25">
      <c r="A51" s="60">
        <v>15</v>
      </c>
      <c r="B51" s="86" t="str" cm="1">
        <f t="array" aca="1" ref="B5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15),"")</f>
        <v/>
      </c>
      <c r="C51" s="86" t="str" cm="1">
        <f t="array" aca="1" ref="C51" ca="1">IF(B51="","",IF(INDIRECT("'"&amp;$Q$3&amp;"'!"&amp;$Q$6&amp;(B51+1))=1,"ON","OFF"))</f>
        <v/>
      </c>
      <c r="D51" s="87" t="str" cm="1">
        <f t="array" aca="1" ref="D51" ca="1">IF(B51="","",IFERROR((INDIRECT("'"&amp;$Q$3&amp;"'!A"&amp;(B51+1))-INDIRECT("'"&amp;$Q$3&amp;"'!A2"))*86400,""))</f>
        <v/>
      </c>
      <c r="E51" s="88" t="str">
        <f t="shared" ca="1" si="1"/>
        <v/>
      </c>
      <c r="G51" s="60">
        <v>15</v>
      </c>
      <c r="H51" s="86" cm="1">
        <f t="array" aca="1" ref="H5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15),"")</f>
        <v>226</v>
      </c>
      <c r="I51" s="86" t="str" cm="1">
        <f t="array" aca="1" ref="I51" ca="1">IF(H51="","",IF(INDIRECT("'"&amp;$Q$3&amp;"'!"&amp;$Q$7&amp;(H51+1))=1,"ON","OFF"))</f>
        <v>OFF</v>
      </c>
      <c r="J51" s="87" cm="1">
        <f t="array" aca="1" ref="J51" ca="1">IF(H51="","",IFERROR((INDIRECT("'"&amp;$Q$3&amp;"'!A"&amp;(H51+1))-INDIRECT("'"&amp;$Q$3&amp;"'!A2"))*86400,""))</f>
        <v>2.2659999999980585</v>
      </c>
      <c r="K51" s="88">
        <f t="shared" ca="1" si="2"/>
        <v>40</v>
      </c>
    </row>
    <row r="52" spans="1:11" x14ac:dyDescent="0.25">
      <c r="A52" s="60">
        <v>16</v>
      </c>
      <c r="B52" s="86" t="str" cm="1">
        <f t="array" aca="1" ref="B5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16),"")</f>
        <v/>
      </c>
      <c r="C52" s="86" t="str" cm="1">
        <f t="array" aca="1" ref="C52" ca="1">IF(B52="","",IF(INDIRECT("'"&amp;$Q$3&amp;"'!"&amp;$Q$6&amp;(B52+1))=1,"ON","OFF"))</f>
        <v/>
      </c>
      <c r="D52" s="87" t="str" cm="1">
        <f t="array" aca="1" ref="D52" ca="1">IF(B52="","",IFERROR((INDIRECT("'"&amp;$Q$3&amp;"'!A"&amp;(B52+1))-INDIRECT("'"&amp;$Q$3&amp;"'!A2"))*86400,""))</f>
        <v/>
      </c>
      <c r="E52" s="88" t="str">
        <f t="shared" ca="1" si="1"/>
        <v/>
      </c>
      <c r="G52" s="60">
        <v>16</v>
      </c>
      <c r="H52" s="86" cm="1">
        <f t="array" aca="1" ref="H5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16),"")</f>
        <v>230</v>
      </c>
      <c r="I52" s="86" t="str" cm="1">
        <f t="array" aca="1" ref="I52" ca="1">IF(H52="","",IF(INDIRECT("'"&amp;$Q$3&amp;"'!"&amp;$Q$7&amp;(H52+1))=1,"ON","OFF"))</f>
        <v>ON</v>
      </c>
      <c r="J52" s="87" cm="1">
        <f t="array" aca="1" ref="J52" ca="1">IF(H52="","",IFERROR((INDIRECT("'"&amp;$Q$3&amp;"'!A"&amp;(H52+1))-INDIRECT("'"&amp;$Q$3&amp;"'!A2"))*86400,""))</f>
        <v>2.3059999999983205</v>
      </c>
      <c r="K52" s="88">
        <f t="shared" ca="1" si="2"/>
        <v>260</v>
      </c>
    </row>
    <row r="53" spans="1:11" x14ac:dyDescent="0.25">
      <c r="A53" s="60">
        <v>17</v>
      </c>
      <c r="B53" s="86" t="str" cm="1">
        <f t="array" aca="1" ref="B5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17),"")</f>
        <v/>
      </c>
      <c r="C53" s="86" t="str" cm="1">
        <f t="array" aca="1" ref="C53" ca="1">IF(B53="","",IF(INDIRECT("'"&amp;$Q$3&amp;"'!"&amp;$Q$6&amp;(B53+1))=1,"ON","OFF"))</f>
        <v/>
      </c>
      <c r="D53" s="87" t="str" cm="1">
        <f t="array" aca="1" ref="D53" ca="1">IF(B53="","",IFERROR((INDIRECT("'"&amp;$Q$3&amp;"'!A"&amp;(B53+1))-INDIRECT("'"&amp;$Q$3&amp;"'!A2"))*86400,""))</f>
        <v/>
      </c>
      <c r="E53" s="88" t="str">
        <f t="shared" ca="1" si="1"/>
        <v/>
      </c>
      <c r="G53" s="60">
        <v>17</v>
      </c>
      <c r="H53" s="86" cm="1">
        <f t="array" aca="1" ref="H5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17),"")</f>
        <v>256</v>
      </c>
      <c r="I53" s="86" t="str" cm="1">
        <f t="array" aca="1" ref="I53" ca="1">IF(H53="","",IF(INDIRECT("'"&amp;$Q$3&amp;"'!"&amp;$Q$7&amp;(H53+1))=1,"ON","OFF"))</f>
        <v>OFF</v>
      </c>
      <c r="J53" s="87" cm="1">
        <f t="array" aca="1" ref="J53" ca="1">IF(H53="","",IFERROR((INDIRECT("'"&amp;$Q$3&amp;"'!A"&amp;(H53+1))-INDIRECT("'"&amp;$Q$3&amp;"'!A2"))*86400,""))</f>
        <v>2.5659999999952277</v>
      </c>
      <c r="K53" s="88">
        <f t="shared" ca="1" si="2"/>
        <v>39</v>
      </c>
    </row>
    <row r="54" spans="1:11" x14ac:dyDescent="0.25">
      <c r="A54" s="60">
        <v>18</v>
      </c>
      <c r="B54" s="86" t="str" cm="1">
        <f t="array" aca="1" ref="B5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18),"")</f>
        <v/>
      </c>
      <c r="C54" s="86" t="str" cm="1">
        <f t="array" aca="1" ref="C54" ca="1">IF(B54="","",IF(INDIRECT("'"&amp;$Q$3&amp;"'!"&amp;$Q$6&amp;(B54+1))=1,"ON","OFF"))</f>
        <v/>
      </c>
      <c r="D54" s="87" t="str" cm="1">
        <f t="array" aca="1" ref="D54" ca="1">IF(B54="","",IFERROR((INDIRECT("'"&amp;$Q$3&amp;"'!A"&amp;(B54+1))-INDIRECT("'"&amp;$Q$3&amp;"'!A2"))*86400,""))</f>
        <v/>
      </c>
      <c r="E54" s="88" t="str">
        <f t="shared" ca="1" si="1"/>
        <v/>
      </c>
      <c r="G54" s="60">
        <v>18</v>
      </c>
      <c r="H54" s="86" cm="1">
        <f t="array" aca="1" ref="H5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18),"")</f>
        <v>260</v>
      </c>
      <c r="I54" s="86" t="str" cm="1">
        <f t="array" aca="1" ref="I54" ca="1">IF(H54="","",IF(INDIRECT("'"&amp;$Q$3&amp;"'!"&amp;$Q$7&amp;(H54+1))=1,"ON","OFF"))</f>
        <v>ON</v>
      </c>
      <c r="J54" s="87" cm="1">
        <f t="array" aca="1" ref="J54" ca="1">IF(H54="","",IFERROR((INDIRECT("'"&amp;$Q$3&amp;"'!A"&amp;(H54+1))-INDIRECT("'"&amp;$Q$3&amp;"'!A2"))*86400,""))</f>
        <v>2.6049999999990803</v>
      </c>
      <c r="K54" s="88">
        <f t="shared" ca="1" si="2"/>
        <v>260</v>
      </c>
    </row>
    <row r="55" spans="1:11" x14ac:dyDescent="0.25">
      <c r="A55" s="60">
        <v>19</v>
      </c>
      <c r="B55" s="86" t="str" cm="1">
        <f t="array" aca="1" ref="B5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19),"")</f>
        <v/>
      </c>
      <c r="C55" s="86" t="str" cm="1">
        <f t="array" aca="1" ref="C55" ca="1">IF(B55="","",IF(INDIRECT("'"&amp;$Q$3&amp;"'!"&amp;$Q$6&amp;(B55+1))=1,"ON","OFF"))</f>
        <v/>
      </c>
      <c r="D55" s="87" t="str" cm="1">
        <f t="array" aca="1" ref="D55" ca="1">IF(B55="","",IFERROR((INDIRECT("'"&amp;$Q$3&amp;"'!A"&amp;(B55+1))-INDIRECT("'"&amp;$Q$3&amp;"'!A2"))*86400,""))</f>
        <v/>
      </c>
      <c r="E55" s="88" t="str">
        <f t="shared" ca="1" si="1"/>
        <v/>
      </c>
      <c r="G55" s="60">
        <v>19</v>
      </c>
      <c r="H55" s="86" cm="1">
        <f t="array" aca="1" ref="H5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19),"")</f>
        <v>285</v>
      </c>
      <c r="I55" s="86" t="str" cm="1">
        <f t="array" aca="1" ref="I55" ca="1">IF(H55="","",IF(INDIRECT("'"&amp;$Q$3&amp;"'!"&amp;$Q$7&amp;(H55+1))=1,"ON","OFF"))</f>
        <v>OFF</v>
      </c>
      <c r="J55" s="87" cm="1">
        <f t="array" aca="1" ref="J55" ca="1">IF(H55="","",IFERROR((INDIRECT("'"&amp;$Q$3&amp;"'!A"&amp;(H55+1))-INDIRECT("'"&amp;$Q$3&amp;"'!A2"))*86400,""))</f>
        <v>2.8649999999959874</v>
      </c>
      <c r="K55" s="88">
        <f t="shared" ca="1" si="2"/>
        <v>40</v>
      </c>
    </row>
    <row r="56" spans="1:11" x14ac:dyDescent="0.25">
      <c r="A56" s="60">
        <v>20</v>
      </c>
      <c r="B56" s="86" t="str" cm="1">
        <f t="array" aca="1" ref="B5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20),"")</f>
        <v/>
      </c>
      <c r="C56" s="86" t="str" cm="1">
        <f t="array" aca="1" ref="C56" ca="1">IF(B56="","",IF(INDIRECT("'"&amp;$Q$3&amp;"'!"&amp;$Q$6&amp;(B56+1))=1,"ON","OFF"))</f>
        <v/>
      </c>
      <c r="D56" s="87" t="str" cm="1">
        <f t="array" aca="1" ref="D56" ca="1">IF(B56="","",IFERROR((INDIRECT("'"&amp;$Q$3&amp;"'!A"&amp;(B56+1))-INDIRECT("'"&amp;$Q$3&amp;"'!A2"))*86400,""))</f>
        <v/>
      </c>
      <c r="E56" s="88" t="str">
        <f t="shared" ca="1" si="1"/>
        <v/>
      </c>
      <c r="G56" s="60">
        <v>20</v>
      </c>
      <c r="H56" s="86" cm="1">
        <f t="array" aca="1" ref="H5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20),"")</f>
        <v>289</v>
      </c>
      <c r="I56" s="86" t="str" cm="1">
        <f t="array" aca="1" ref="I56" ca="1">IF(H56="","",IF(INDIRECT("'"&amp;$Q$3&amp;"'!"&amp;$Q$7&amp;(H56+1))=1,"ON","OFF"))</f>
        <v>ON</v>
      </c>
      <c r="J56" s="87" cm="1">
        <f t="array" aca="1" ref="J56" ca="1">IF(H56="","",IFERROR((INDIRECT("'"&amp;$Q$3&amp;"'!A"&amp;(H56+1))-INDIRECT("'"&amp;$Q$3&amp;"'!A2"))*86400,""))</f>
        <v>2.9049999999962495</v>
      </c>
      <c r="K56" s="88">
        <f t="shared" ca="1" si="2"/>
        <v>260</v>
      </c>
    </row>
    <row r="57" spans="1:11" x14ac:dyDescent="0.25">
      <c r="A57" s="60">
        <v>21</v>
      </c>
      <c r="B57" s="86" t="str" cm="1">
        <f t="array" aca="1" ref="B5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21),"")</f>
        <v/>
      </c>
      <c r="C57" s="86" t="str" cm="1">
        <f t="array" aca="1" ref="C57" ca="1">IF(B57="","",IF(INDIRECT("'"&amp;$Q$3&amp;"'!"&amp;$Q$6&amp;(B57+1))=1,"ON","OFF"))</f>
        <v/>
      </c>
      <c r="D57" s="87" t="str" cm="1">
        <f t="array" aca="1" ref="D57" ca="1">IF(B57="","",IFERROR((INDIRECT("'"&amp;$Q$3&amp;"'!A"&amp;(B57+1))-INDIRECT("'"&amp;$Q$3&amp;"'!A2"))*86400,""))</f>
        <v/>
      </c>
      <c r="E57" s="88" t="str">
        <f t="shared" ca="1" si="1"/>
        <v/>
      </c>
      <c r="G57" s="60">
        <v>21</v>
      </c>
      <c r="H57" s="86" cm="1">
        <f t="array" aca="1" ref="H5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21),"")</f>
        <v>315</v>
      </c>
      <c r="I57" s="86" t="str" cm="1">
        <f t="array" aca="1" ref="I57" ca="1">IF(H57="","",IF(INDIRECT("'"&amp;$Q$3&amp;"'!"&amp;$Q$7&amp;(H57+1))=1,"ON","OFF"))</f>
        <v>OFF</v>
      </c>
      <c r="J57" s="87" cm="1">
        <f t="array" aca="1" ref="J57" ca="1">IF(H57="","",IFERROR((INDIRECT("'"&amp;$Q$3&amp;"'!A"&amp;(H57+1))-INDIRECT("'"&amp;$Q$3&amp;"'!A2"))*86400,""))</f>
        <v>3.1649999999931566</v>
      </c>
      <c r="K57" s="88">
        <f t="shared" ca="1" si="2"/>
        <v>39</v>
      </c>
    </row>
    <row r="58" spans="1:11" x14ac:dyDescent="0.25">
      <c r="A58" s="60">
        <v>22</v>
      </c>
      <c r="B58" s="86" t="str" cm="1">
        <f t="array" aca="1" ref="B5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22),"")</f>
        <v/>
      </c>
      <c r="C58" s="86" t="str" cm="1">
        <f t="array" aca="1" ref="C58" ca="1">IF(B58="","",IF(INDIRECT("'"&amp;$Q$3&amp;"'!"&amp;$Q$6&amp;(B58+1))=1,"ON","OFF"))</f>
        <v/>
      </c>
      <c r="D58" s="87" t="str" cm="1">
        <f t="array" aca="1" ref="D58" ca="1">IF(B58="","",IFERROR((INDIRECT("'"&amp;$Q$3&amp;"'!A"&amp;(B58+1))-INDIRECT("'"&amp;$Q$3&amp;"'!A2"))*86400,""))</f>
        <v/>
      </c>
      <c r="E58" s="88" t="str">
        <f t="shared" ca="1" si="1"/>
        <v/>
      </c>
      <c r="G58" s="60">
        <v>22</v>
      </c>
      <c r="H58" s="86" cm="1">
        <f t="array" aca="1" ref="H5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22),"")</f>
        <v>319</v>
      </c>
      <c r="I58" s="86" t="str" cm="1">
        <f t="array" aca="1" ref="I58" ca="1">IF(H58="","",IF(INDIRECT("'"&amp;$Q$3&amp;"'!"&amp;$Q$7&amp;(H58+1))=1,"ON","OFF"))</f>
        <v>ON</v>
      </c>
      <c r="J58" s="87" cm="1">
        <f t="array" aca="1" ref="J58" ca="1">IF(H58="","",IFERROR((INDIRECT("'"&amp;$Q$3&amp;"'!A"&amp;(H58+1))-INDIRECT("'"&amp;$Q$3&amp;"'!A2"))*86400,""))</f>
        <v>3.2039999999970092</v>
      </c>
      <c r="K58" s="88">
        <f t="shared" ca="1" si="2"/>
        <v>270</v>
      </c>
    </row>
    <row r="59" spans="1:11" x14ac:dyDescent="0.25">
      <c r="A59" s="60">
        <v>23</v>
      </c>
      <c r="B59" s="86" t="str" cm="1">
        <f t="array" aca="1" ref="B5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23),"")</f>
        <v/>
      </c>
      <c r="C59" s="86" t="str" cm="1">
        <f t="array" aca="1" ref="C59" ca="1">IF(B59="","",IF(INDIRECT("'"&amp;$Q$3&amp;"'!"&amp;$Q$6&amp;(B59+1))=1,"ON","OFF"))</f>
        <v/>
      </c>
      <c r="D59" s="87" t="str" cm="1">
        <f t="array" aca="1" ref="D59" ca="1">IF(B59="","",IFERROR((INDIRECT("'"&amp;$Q$3&amp;"'!A"&amp;(B59+1))-INDIRECT("'"&amp;$Q$3&amp;"'!A2"))*86400,""))</f>
        <v/>
      </c>
      <c r="E59" s="88" t="str">
        <f t="shared" ca="1" si="1"/>
        <v/>
      </c>
      <c r="G59" s="60">
        <v>23</v>
      </c>
      <c r="H59" s="86" cm="1">
        <f t="array" aca="1" ref="H5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23),"")</f>
        <v>346</v>
      </c>
      <c r="I59" s="86" t="str" cm="1">
        <f t="array" aca="1" ref="I59" ca="1">IF(H59="","",IF(INDIRECT("'"&amp;$Q$3&amp;"'!"&amp;$Q$7&amp;(H59+1))=1,"ON","OFF"))</f>
        <v>OFF</v>
      </c>
      <c r="J59" s="87" cm="1">
        <f t="array" aca="1" ref="J59" ca="1">IF(H59="","",IFERROR((INDIRECT("'"&amp;$Q$3&amp;"'!A"&amp;(H59+1))-INDIRECT("'"&amp;$Q$3&amp;"'!A2"))*86400,""))</f>
        <v>3.47399999999638</v>
      </c>
      <c r="K59" s="88">
        <f t="shared" ca="1" si="2"/>
        <v>30</v>
      </c>
    </row>
    <row r="60" spans="1:11" x14ac:dyDescent="0.25">
      <c r="A60" s="60">
        <v>24</v>
      </c>
      <c r="B60" s="86" t="str" cm="1">
        <f t="array" aca="1" ref="B6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24),"")</f>
        <v/>
      </c>
      <c r="C60" s="86" t="str" cm="1">
        <f t="array" aca="1" ref="C60" ca="1">IF(B60="","",IF(INDIRECT("'"&amp;$Q$3&amp;"'!"&amp;$Q$6&amp;(B60+1))=1,"ON","OFF"))</f>
        <v/>
      </c>
      <c r="D60" s="87" t="str" cm="1">
        <f t="array" aca="1" ref="D60" ca="1">IF(B60="","",IFERROR((INDIRECT("'"&amp;$Q$3&amp;"'!A"&amp;(B60+1))-INDIRECT("'"&amp;$Q$3&amp;"'!A2"))*86400,""))</f>
        <v/>
      </c>
      <c r="E60" s="88" t="str">
        <f t="shared" ca="1" si="1"/>
        <v/>
      </c>
      <c r="G60" s="60">
        <v>24</v>
      </c>
      <c r="H60" s="86" cm="1">
        <f t="array" aca="1" ref="H6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24),"")</f>
        <v>349</v>
      </c>
      <c r="I60" s="86" t="str" cm="1">
        <f t="array" aca="1" ref="I60" ca="1">IF(H60="","",IF(INDIRECT("'"&amp;$Q$3&amp;"'!"&amp;$Q$7&amp;(H60+1))=1,"ON","OFF"))</f>
        <v>ON</v>
      </c>
      <c r="J60" s="87" cm="1">
        <f t="array" aca="1" ref="J60" ca="1">IF(H60="","",IFERROR((INDIRECT("'"&amp;$Q$3&amp;"'!A"&amp;(H60+1))-INDIRECT("'"&amp;$Q$3&amp;"'!A2"))*86400,""))</f>
        <v>3.5039999999941784</v>
      </c>
      <c r="K60" s="88">
        <f t="shared" ca="1" si="2"/>
        <v>260</v>
      </c>
    </row>
    <row r="61" spans="1:11" x14ac:dyDescent="0.25">
      <c r="A61" s="60">
        <v>25</v>
      </c>
      <c r="B61" s="86" t="str" cm="1">
        <f t="array" aca="1" ref="B6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25),"")</f>
        <v/>
      </c>
      <c r="C61" s="86" t="str" cm="1">
        <f t="array" aca="1" ref="C61" ca="1">IF(B61="","",IF(INDIRECT("'"&amp;$Q$3&amp;"'!"&amp;$Q$6&amp;(B61+1))=1,"ON","OFF"))</f>
        <v/>
      </c>
      <c r="D61" s="87" t="str" cm="1">
        <f t="array" aca="1" ref="D61" ca="1">IF(B61="","",IFERROR((INDIRECT("'"&amp;$Q$3&amp;"'!A"&amp;(B61+1))-INDIRECT("'"&amp;$Q$3&amp;"'!A2"))*86400,""))</f>
        <v/>
      </c>
      <c r="E61" s="88" t="str">
        <f t="shared" ca="1" si="1"/>
        <v/>
      </c>
      <c r="G61" s="60">
        <v>25</v>
      </c>
      <c r="H61" s="86" cm="1">
        <f t="array" aca="1" ref="H6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25),"")</f>
        <v>375</v>
      </c>
      <c r="I61" s="86" t="str" cm="1">
        <f t="array" aca="1" ref="I61" ca="1">IF(H61="","",IF(INDIRECT("'"&amp;$Q$3&amp;"'!"&amp;$Q$7&amp;(H61+1))=1,"ON","OFF"))</f>
        <v>OFF</v>
      </c>
      <c r="J61" s="87" cm="1">
        <f t="array" aca="1" ref="J61" ca="1">IF(H61="","",IFERROR((INDIRECT("'"&amp;$Q$3&amp;"'!A"&amp;(H61+1))-INDIRECT("'"&amp;$Q$3&amp;"'!A2"))*86400,""))</f>
        <v>3.7640000000006779</v>
      </c>
      <c r="K61" s="88">
        <f t="shared" ca="1" si="2"/>
        <v>40</v>
      </c>
    </row>
    <row r="62" spans="1:11" x14ac:dyDescent="0.25">
      <c r="A62" s="60">
        <v>26</v>
      </c>
      <c r="B62" s="86" t="str" cm="1">
        <f t="array" aca="1" ref="B6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26),"")</f>
        <v/>
      </c>
      <c r="C62" s="86" t="str" cm="1">
        <f t="array" aca="1" ref="C62" ca="1">IF(B62="","",IF(INDIRECT("'"&amp;$Q$3&amp;"'!"&amp;$Q$6&amp;(B62+1))=1,"ON","OFF"))</f>
        <v/>
      </c>
      <c r="D62" s="87" t="str" cm="1">
        <f t="array" aca="1" ref="D62" ca="1">IF(B62="","",IFERROR((INDIRECT("'"&amp;$Q$3&amp;"'!A"&amp;(B62+1))-INDIRECT("'"&amp;$Q$3&amp;"'!A2"))*86400,""))</f>
        <v/>
      </c>
      <c r="E62" s="88" t="str">
        <f t="shared" ca="1" si="1"/>
        <v/>
      </c>
      <c r="G62" s="60">
        <v>26</v>
      </c>
      <c r="H62" s="86" cm="1">
        <f t="array" aca="1" ref="H6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26),"")</f>
        <v>379</v>
      </c>
      <c r="I62" s="86" t="str" cm="1">
        <f t="array" aca="1" ref="I62" ca="1">IF(H62="","",IF(INDIRECT("'"&amp;$Q$3&amp;"'!"&amp;$Q$7&amp;(H62+1))=1,"ON","OFF"))</f>
        <v>ON</v>
      </c>
      <c r="J62" s="87" cm="1">
        <f t="array" aca="1" ref="J62" ca="1">IF(H62="","",IFERROR((INDIRECT("'"&amp;$Q$3&amp;"'!A"&amp;(H62+1))-INDIRECT("'"&amp;$Q$3&amp;"'!A2"))*86400,""))</f>
        <v>3.80400000000094</v>
      </c>
      <c r="K62" s="88">
        <f t="shared" ca="1" si="2"/>
        <v>269</v>
      </c>
    </row>
    <row r="63" spans="1:11" x14ac:dyDescent="0.25">
      <c r="A63" s="60">
        <v>27</v>
      </c>
      <c r="B63" s="86" t="str" cm="1">
        <f t="array" aca="1" ref="B6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27),"")</f>
        <v/>
      </c>
      <c r="C63" s="86" t="str" cm="1">
        <f t="array" aca="1" ref="C63" ca="1">IF(B63="","",IF(INDIRECT("'"&amp;$Q$3&amp;"'!"&amp;$Q$6&amp;(B63+1))=1,"ON","OFF"))</f>
        <v/>
      </c>
      <c r="D63" s="87" t="str" cm="1">
        <f t="array" aca="1" ref="D63" ca="1">IF(B63="","",IFERROR((INDIRECT("'"&amp;$Q$3&amp;"'!A"&amp;(B63+1))-INDIRECT("'"&amp;$Q$3&amp;"'!A2"))*86400,""))</f>
        <v/>
      </c>
      <c r="E63" s="88" t="str">
        <f t="shared" ca="1" si="1"/>
        <v/>
      </c>
      <c r="G63" s="60">
        <v>27</v>
      </c>
      <c r="H63" s="86" cm="1">
        <f t="array" aca="1" ref="H6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27),"")</f>
        <v>405</v>
      </c>
      <c r="I63" s="86" t="str" cm="1">
        <f t="array" aca="1" ref="I63" ca="1">IF(H63="","",IF(INDIRECT("'"&amp;$Q$3&amp;"'!"&amp;$Q$7&amp;(H63+1))=1,"ON","OFF"))</f>
        <v>OFF</v>
      </c>
      <c r="J63" s="87" cm="1">
        <f t="array" aca="1" ref="J63" ca="1">IF(H63="","",IFERROR((INDIRECT("'"&amp;$Q$3&amp;"'!A"&amp;(H63+1))-INDIRECT("'"&amp;$Q$3&amp;"'!A2"))*86400,""))</f>
        <v>4.072999999994309</v>
      </c>
      <c r="K63" s="88">
        <f t="shared" ca="1" si="2"/>
        <v>30</v>
      </c>
    </row>
    <row r="64" spans="1:11" x14ac:dyDescent="0.25">
      <c r="A64" s="60">
        <v>28</v>
      </c>
      <c r="B64" s="86" t="str" cm="1">
        <f t="array" aca="1" ref="B6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28),"")</f>
        <v/>
      </c>
      <c r="C64" s="86" t="str" cm="1">
        <f t="array" aca="1" ref="C64" ca="1">IF(B64="","",IF(INDIRECT("'"&amp;$Q$3&amp;"'!"&amp;$Q$6&amp;(B64+1))=1,"ON","OFF"))</f>
        <v/>
      </c>
      <c r="D64" s="87" t="str" cm="1">
        <f t="array" aca="1" ref="D64" ca="1">IF(B64="","",IFERROR((INDIRECT("'"&amp;$Q$3&amp;"'!A"&amp;(B64+1))-INDIRECT("'"&amp;$Q$3&amp;"'!A2"))*86400,""))</f>
        <v/>
      </c>
      <c r="E64" s="88" t="str">
        <f t="shared" ca="1" si="1"/>
        <v/>
      </c>
      <c r="G64" s="60">
        <v>28</v>
      </c>
      <c r="H64" s="86" cm="1">
        <f t="array" aca="1" ref="H6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28),"")</f>
        <v>408</v>
      </c>
      <c r="I64" s="86" t="str" cm="1">
        <f t="array" aca="1" ref="I64" ca="1">IF(H64="","",IF(INDIRECT("'"&amp;$Q$3&amp;"'!"&amp;$Q$7&amp;(H64+1))=1,"ON","OFF"))</f>
        <v>ON</v>
      </c>
      <c r="J64" s="87" cm="1">
        <f t="array" aca="1" ref="J64" ca="1">IF(H64="","",IFERROR((INDIRECT("'"&amp;$Q$3&amp;"'!A"&amp;(H64+1))-INDIRECT("'"&amp;$Q$3&amp;"'!A2"))*86400,""))</f>
        <v>4.1030000000016997</v>
      </c>
      <c r="K64" s="88">
        <f t="shared" ca="1" si="2"/>
        <v>269</v>
      </c>
    </row>
    <row r="65" spans="1:11" x14ac:dyDescent="0.25">
      <c r="A65" s="60">
        <v>29</v>
      </c>
      <c r="B65" s="86" t="str" cm="1">
        <f t="array" aca="1" ref="B6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29),"")</f>
        <v/>
      </c>
      <c r="C65" s="86" t="str" cm="1">
        <f t="array" aca="1" ref="C65" ca="1">IF(B65="","",IF(INDIRECT("'"&amp;$Q$3&amp;"'!"&amp;$Q$6&amp;(B65+1))=1,"ON","OFF"))</f>
        <v/>
      </c>
      <c r="D65" s="87" t="str" cm="1">
        <f t="array" aca="1" ref="D65" ca="1">IF(B65="","",IFERROR((INDIRECT("'"&amp;$Q$3&amp;"'!A"&amp;(B65+1))-INDIRECT("'"&amp;$Q$3&amp;"'!A2"))*86400,""))</f>
        <v/>
      </c>
      <c r="E65" s="88" t="str">
        <f t="shared" ca="1" si="1"/>
        <v/>
      </c>
      <c r="G65" s="60">
        <v>29</v>
      </c>
      <c r="H65" s="86" cm="1">
        <f t="array" aca="1" ref="H6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29),"")</f>
        <v>435</v>
      </c>
      <c r="I65" s="86" t="str" cm="1">
        <f t="array" aca="1" ref="I65" ca="1">IF(H65="","",IF(INDIRECT("'"&amp;$Q$3&amp;"'!"&amp;$Q$7&amp;(H65+1))=1,"ON","OFF"))</f>
        <v>OFF</v>
      </c>
      <c r="J65" s="87" cm="1">
        <f t="array" aca="1" ref="J65" ca="1">IF(H65="","",IFERROR((INDIRECT("'"&amp;$Q$3&amp;"'!A"&amp;(H65+1))-INDIRECT("'"&amp;$Q$3&amp;"'!A2"))*86400,""))</f>
        <v>4.3719999999950687</v>
      </c>
      <c r="K65" s="88">
        <f t="shared" ca="1" si="2"/>
        <v>31</v>
      </c>
    </row>
    <row r="66" spans="1:11" x14ac:dyDescent="0.25">
      <c r="A66" s="60">
        <v>30</v>
      </c>
      <c r="B66" s="86" t="str" cm="1">
        <f t="array" aca="1" ref="B6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30),"")</f>
        <v/>
      </c>
      <c r="C66" s="86" t="str" cm="1">
        <f t="array" aca="1" ref="C66" ca="1">IF(B66="","",IF(INDIRECT("'"&amp;$Q$3&amp;"'!"&amp;$Q$6&amp;(B66+1))=1,"ON","OFF"))</f>
        <v/>
      </c>
      <c r="D66" s="87" t="str" cm="1">
        <f t="array" aca="1" ref="D66" ca="1">IF(B66="","",IFERROR((INDIRECT("'"&amp;$Q$3&amp;"'!A"&amp;(B66+1))-INDIRECT("'"&amp;$Q$3&amp;"'!A2"))*86400,""))</f>
        <v/>
      </c>
      <c r="E66" s="88" t="str">
        <f t="shared" ca="1" si="1"/>
        <v/>
      </c>
      <c r="G66" s="60">
        <v>30</v>
      </c>
      <c r="H66" s="86" cm="1">
        <f t="array" aca="1" ref="H6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30),"")</f>
        <v>438</v>
      </c>
      <c r="I66" s="86" t="str" cm="1">
        <f t="array" aca="1" ref="I66" ca="1">IF(H66="","",IF(INDIRECT("'"&amp;$Q$3&amp;"'!"&amp;$Q$7&amp;(H66+1))=1,"ON","OFF"))</f>
        <v>ON</v>
      </c>
      <c r="J66" s="87" cm="1">
        <f t="array" aca="1" ref="J66" ca="1">IF(H66="","",IFERROR((INDIRECT("'"&amp;$Q$3&amp;"'!A"&amp;(H66+1))-INDIRECT("'"&amp;$Q$3&amp;"'!A2"))*86400,""))</f>
        <v>4.4029999999988689</v>
      </c>
      <c r="K66" s="88">
        <f t="shared" ca="1" si="2"/>
        <v>269</v>
      </c>
    </row>
    <row r="67" spans="1:11" x14ac:dyDescent="0.25">
      <c r="A67" s="60">
        <v>31</v>
      </c>
      <c r="B67" s="86" t="str" cm="1">
        <f t="array" aca="1" ref="B6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31),"")</f>
        <v/>
      </c>
      <c r="C67" s="86" t="str" cm="1">
        <f t="array" aca="1" ref="C67" ca="1">IF(B67="","",IF(INDIRECT("'"&amp;$Q$3&amp;"'!"&amp;$Q$6&amp;(B67+1))=1,"ON","OFF"))</f>
        <v/>
      </c>
      <c r="D67" s="87" t="str" cm="1">
        <f t="array" aca="1" ref="D67" ca="1">IF(B67="","",IFERROR((INDIRECT("'"&amp;$Q$3&amp;"'!A"&amp;(B67+1))-INDIRECT("'"&amp;$Q$3&amp;"'!A2"))*86400,""))</f>
        <v/>
      </c>
      <c r="E67" s="88" t="str">
        <f t="shared" ca="1" si="1"/>
        <v/>
      </c>
      <c r="G67" s="60">
        <v>31</v>
      </c>
      <c r="H67" s="86" cm="1">
        <f t="array" aca="1" ref="H6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31),"")</f>
        <v>465</v>
      </c>
      <c r="I67" s="86" t="str" cm="1">
        <f t="array" aca="1" ref="I67" ca="1">IF(H67="","",IF(INDIRECT("'"&amp;$Q$3&amp;"'!"&amp;$Q$7&amp;(H67+1))=1,"ON","OFF"))</f>
        <v>OFF</v>
      </c>
      <c r="J67" s="87" cm="1">
        <f t="array" aca="1" ref="J67" ca="1">IF(H67="","",IFERROR((INDIRECT("'"&amp;$Q$3&amp;"'!A"&amp;(H67+1))-INDIRECT("'"&amp;$Q$3&amp;"'!A2"))*86400,""))</f>
        <v>4.6720000000018302</v>
      </c>
      <c r="K67" s="88">
        <f t="shared" ca="1" si="2"/>
        <v>30</v>
      </c>
    </row>
    <row r="68" spans="1:11" x14ac:dyDescent="0.25">
      <c r="A68" s="60">
        <v>32</v>
      </c>
      <c r="B68" s="86" t="str" cm="1">
        <f t="array" aca="1" ref="B6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32),"")</f>
        <v/>
      </c>
      <c r="C68" s="86" t="str" cm="1">
        <f t="array" aca="1" ref="C68" ca="1">IF(B68="","",IF(INDIRECT("'"&amp;$Q$3&amp;"'!"&amp;$Q$6&amp;(B68+1))=1,"ON","OFF"))</f>
        <v/>
      </c>
      <c r="D68" s="87" t="str" cm="1">
        <f t="array" aca="1" ref="D68" ca="1">IF(B68="","",IFERROR((INDIRECT("'"&amp;$Q$3&amp;"'!A"&amp;(B68+1))-INDIRECT("'"&amp;$Q$3&amp;"'!A2"))*86400,""))</f>
        <v/>
      </c>
      <c r="E68" s="88" t="str">
        <f t="shared" ca="1" si="1"/>
        <v/>
      </c>
      <c r="G68" s="60">
        <v>32</v>
      </c>
      <c r="H68" s="86" cm="1">
        <f t="array" aca="1" ref="H6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32),"")</f>
        <v>468</v>
      </c>
      <c r="I68" s="86" t="str" cm="1">
        <f t="array" aca="1" ref="I68" ca="1">IF(H68="","",IF(INDIRECT("'"&amp;$Q$3&amp;"'!"&amp;$Q$7&amp;(H68+1))=1,"ON","OFF"))</f>
        <v>ON</v>
      </c>
      <c r="J68" s="87" cm="1">
        <f t="array" aca="1" ref="J68" ca="1">IF(H68="","",IFERROR((INDIRECT("'"&amp;$Q$3&amp;"'!A"&amp;(H68+1))-INDIRECT("'"&amp;$Q$3&amp;"'!A2"))*86400,""))</f>
        <v>4.7019999999996287</v>
      </c>
      <c r="K68" s="88">
        <f t="shared" ca="1" si="2"/>
        <v>270</v>
      </c>
    </row>
    <row r="69" spans="1:11" x14ac:dyDescent="0.25">
      <c r="A69" s="60">
        <v>33</v>
      </c>
      <c r="B69" s="86" t="str" cm="1">
        <f t="array" aca="1" ref="B6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33),"")</f>
        <v/>
      </c>
      <c r="C69" s="86" t="str" cm="1">
        <f t="array" aca="1" ref="C69" ca="1">IF(B69="","",IF(INDIRECT("'"&amp;$Q$3&amp;"'!"&amp;$Q$6&amp;(B69+1))=1,"ON","OFF"))</f>
        <v/>
      </c>
      <c r="D69" s="87" t="str" cm="1">
        <f t="array" aca="1" ref="D69" ca="1">IF(B69="","",IFERROR((INDIRECT("'"&amp;$Q$3&amp;"'!A"&amp;(B69+1))-INDIRECT("'"&amp;$Q$3&amp;"'!A2"))*86400,""))</f>
        <v/>
      </c>
      <c r="E69" s="88" t="str">
        <f t="shared" ref="E69:E100" ca="1" si="3">IF(OR(B69="",B70=""),"",ROUND((D70-D69)*1000,0))</f>
        <v/>
      </c>
      <c r="G69" s="60">
        <v>33</v>
      </c>
      <c r="H69" s="86" cm="1">
        <f t="array" aca="1" ref="H6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33),"")</f>
        <v>494</v>
      </c>
      <c r="I69" s="86" t="str" cm="1">
        <f t="array" aca="1" ref="I69" ca="1">IF(H69="","",IF(INDIRECT("'"&amp;$Q$3&amp;"'!"&amp;$Q$7&amp;(H69+1))=1,"ON","OFF"))</f>
        <v>OFF</v>
      </c>
      <c r="J69" s="87" cm="1">
        <f t="array" aca="1" ref="J69" ca="1">IF(H69="","",IFERROR((INDIRECT("'"&amp;$Q$3&amp;"'!A"&amp;(H69+1))-INDIRECT("'"&amp;$Q$3&amp;"'!A2"))*86400,""))</f>
        <v>4.9719999999989994</v>
      </c>
      <c r="K69" s="88">
        <f t="shared" ref="K69:K100" ca="1" si="4">IF(OR(H69="",H70=""),"",ROUND((J70-J69)*1000,0))</f>
        <v>30</v>
      </c>
    </row>
    <row r="70" spans="1:11" x14ac:dyDescent="0.25">
      <c r="A70" s="60">
        <v>34</v>
      </c>
      <c r="B70" s="86" t="str" cm="1">
        <f t="array" aca="1" ref="B7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34),"")</f>
        <v/>
      </c>
      <c r="C70" s="86" t="str" cm="1">
        <f t="array" aca="1" ref="C70" ca="1">IF(B70="","",IF(INDIRECT("'"&amp;$Q$3&amp;"'!"&amp;$Q$6&amp;(B70+1))=1,"ON","OFF"))</f>
        <v/>
      </c>
      <c r="D70" s="87" t="str" cm="1">
        <f t="array" aca="1" ref="D70" ca="1">IF(B70="","",IFERROR((INDIRECT("'"&amp;$Q$3&amp;"'!A"&amp;(B70+1))-INDIRECT("'"&amp;$Q$3&amp;"'!A2"))*86400,""))</f>
        <v/>
      </c>
      <c r="E70" s="88" t="str">
        <f t="shared" ca="1" si="3"/>
        <v/>
      </c>
      <c r="G70" s="60">
        <v>34</v>
      </c>
      <c r="H70" s="86" cm="1">
        <f t="array" aca="1" ref="H7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34),"")</f>
        <v>497</v>
      </c>
      <c r="I70" s="86" t="str" cm="1">
        <f t="array" aca="1" ref="I70" ca="1">IF(H70="","",IF(INDIRECT("'"&amp;$Q$3&amp;"'!"&amp;$Q$7&amp;(H70+1))=1,"ON","OFF"))</f>
        <v>ON</v>
      </c>
      <c r="J70" s="87" cm="1">
        <f t="array" aca="1" ref="J70" ca="1">IF(H70="","",IFERROR((INDIRECT("'"&amp;$Q$3&amp;"'!A"&amp;(H70+1))-INDIRECT("'"&amp;$Q$3&amp;"'!A2"))*86400,""))</f>
        <v>5.0019999999967979</v>
      </c>
      <c r="K70" s="88">
        <f t="shared" ca="1" si="4"/>
        <v>269</v>
      </c>
    </row>
    <row r="71" spans="1:11" x14ac:dyDescent="0.25">
      <c r="A71" s="60">
        <v>35</v>
      </c>
      <c r="B71" s="86" t="str" cm="1">
        <f t="array" aca="1" ref="B7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35),"")</f>
        <v/>
      </c>
      <c r="C71" s="86" t="str" cm="1">
        <f t="array" aca="1" ref="C71" ca="1">IF(B71="","",IF(INDIRECT("'"&amp;$Q$3&amp;"'!"&amp;$Q$6&amp;(B71+1))=1,"ON","OFF"))</f>
        <v/>
      </c>
      <c r="D71" s="87" t="str" cm="1">
        <f t="array" aca="1" ref="D71" ca="1">IF(B71="","",IFERROR((INDIRECT("'"&amp;$Q$3&amp;"'!A"&amp;(B71+1))-INDIRECT("'"&amp;$Q$3&amp;"'!A2"))*86400,""))</f>
        <v/>
      </c>
      <c r="E71" s="88" t="str">
        <f t="shared" ca="1" si="3"/>
        <v/>
      </c>
      <c r="G71" s="60">
        <v>35</v>
      </c>
      <c r="H71" s="86" cm="1">
        <f t="array" aca="1" ref="H7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35),"")</f>
        <v>524</v>
      </c>
      <c r="I71" s="86" t="str" cm="1">
        <f t="array" aca="1" ref="I71" ca="1">IF(H71="","",IF(INDIRECT("'"&amp;$Q$3&amp;"'!"&amp;$Q$7&amp;(H71+1))=1,"ON","OFF"))</f>
        <v>OFF</v>
      </c>
      <c r="J71" s="87" cm="1">
        <f t="array" aca="1" ref="J71" ca="1">IF(H71="","",IFERROR((INDIRECT("'"&amp;$Q$3&amp;"'!A"&amp;(H71+1))-INDIRECT("'"&amp;$Q$3&amp;"'!A2"))*86400,""))</f>
        <v>5.2709999999997592</v>
      </c>
      <c r="K71" s="88">
        <f t="shared" ca="1" si="4"/>
        <v>30</v>
      </c>
    </row>
    <row r="72" spans="1:11" x14ac:dyDescent="0.25">
      <c r="A72" s="60">
        <v>36</v>
      </c>
      <c r="B72" s="86" t="str" cm="1">
        <f t="array" aca="1" ref="B7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36),"")</f>
        <v/>
      </c>
      <c r="C72" s="86" t="str" cm="1">
        <f t="array" aca="1" ref="C72" ca="1">IF(B72="","",IF(INDIRECT("'"&amp;$Q$3&amp;"'!"&amp;$Q$6&amp;(B72+1))=1,"ON","OFF"))</f>
        <v/>
      </c>
      <c r="D72" s="87" t="str" cm="1">
        <f t="array" aca="1" ref="D72" ca="1">IF(B72="","",IFERROR((INDIRECT("'"&amp;$Q$3&amp;"'!A"&amp;(B72+1))-INDIRECT("'"&amp;$Q$3&amp;"'!A2"))*86400,""))</f>
        <v/>
      </c>
      <c r="E72" s="88" t="str">
        <f t="shared" ca="1" si="3"/>
        <v/>
      </c>
      <c r="G72" s="60">
        <v>36</v>
      </c>
      <c r="H72" s="86" cm="1">
        <f t="array" aca="1" ref="H7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36),"")</f>
        <v>527</v>
      </c>
      <c r="I72" s="86" t="str" cm="1">
        <f t="array" aca="1" ref="I72" ca="1">IF(H72="","",IF(INDIRECT("'"&amp;$Q$3&amp;"'!"&amp;$Q$7&amp;(H72+1))=1,"ON","OFF"))</f>
        <v>ON</v>
      </c>
      <c r="J72" s="87" cm="1">
        <f t="array" aca="1" ref="J72" ca="1">IF(H72="","",IFERROR((INDIRECT("'"&amp;$Q$3&amp;"'!A"&amp;(H72+1))-INDIRECT("'"&amp;$Q$3&amp;"'!A2"))*86400,""))</f>
        <v>5.3009999999975577</v>
      </c>
      <c r="K72" s="88">
        <f t="shared" ca="1" si="4"/>
        <v>270</v>
      </c>
    </row>
    <row r="73" spans="1:11" x14ac:dyDescent="0.25">
      <c r="A73" s="60">
        <v>37</v>
      </c>
      <c r="B73" s="86" t="str" cm="1">
        <f t="array" aca="1" ref="B7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37),"")</f>
        <v/>
      </c>
      <c r="C73" s="86" t="str" cm="1">
        <f t="array" aca="1" ref="C73" ca="1">IF(B73="","",IF(INDIRECT("'"&amp;$Q$3&amp;"'!"&amp;$Q$6&amp;(B73+1))=1,"ON","OFF"))</f>
        <v/>
      </c>
      <c r="D73" s="87" t="str" cm="1">
        <f t="array" aca="1" ref="D73" ca="1">IF(B73="","",IFERROR((INDIRECT("'"&amp;$Q$3&amp;"'!A"&amp;(B73+1))-INDIRECT("'"&amp;$Q$3&amp;"'!A2"))*86400,""))</f>
        <v/>
      </c>
      <c r="E73" s="88" t="str">
        <f t="shared" ca="1" si="3"/>
        <v/>
      </c>
      <c r="G73" s="60">
        <v>37</v>
      </c>
      <c r="H73" s="86" cm="1">
        <f t="array" aca="1" ref="H7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37),"")</f>
        <v>554</v>
      </c>
      <c r="I73" s="86" t="str" cm="1">
        <f t="array" aca="1" ref="I73" ca="1">IF(H73="","",IF(INDIRECT("'"&amp;$Q$3&amp;"'!"&amp;$Q$7&amp;(H73+1))=1,"ON","OFF"))</f>
        <v>OFF</v>
      </c>
      <c r="J73" s="87" cm="1">
        <f t="array" aca="1" ref="J73" ca="1">IF(H73="","",IFERROR((INDIRECT("'"&amp;$Q$3&amp;"'!A"&amp;(H73+1))-INDIRECT("'"&amp;$Q$3&amp;"'!A2"))*86400,""))</f>
        <v>5.5709999999969284</v>
      </c>
      <c r="K73" s="88">
        <f t="shared" ca="1" si="4"/>
        <v>29</v>
      </c>
    </row>
    <row r="74" spans="1:11" x14ac:dyDescent="0.25">
      <c r="A74" s="60">
        <v>38</v>
      </c>
      <c r="B74" s="86" t="str" cm="1">
        <f t="array" aca="1" ref="B7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38),"")</f>
        <v/>
      </c>
      <c r="C74" s="86" t="str" cm="1">
        <f t="array" aca="1" ref="C74" ca="1">IF(B74="","",IF(INDIRECT("'"&amp;$Q$3&amp;"'!"&amp;$Q$6&amp;(B74+1))=1,"ON","OFF"))</f>
        <v/>
      </c>
      <c r="D74" s="87" t="str" cm="1">
        <f t="array" aca="1" ref="D74" ca="1">IF(B74="","",IFERROR((INDIRECT("'"&amp;$Q$3&amp;"'!A"&amp;(B74+1))-INDIRECT("'"&amp;$Q$3&amp;"'!A2"))*86400,""))</f>
        <v/>
      </c>
      <c r="E74" s="88" t="str">
        <f t="shared" ca="1" si="3"/>
        <v/>
      </c>
      <c r="G74" s="60">
        <v>38</v>
      </c>
      <c r="H74" s="86" cm="1">
        <f t="array" aca="1" ref="H7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38),"")</f>
        <v>557</v>
      </c>
      <c r="I74" s="86" t="str" cm="1">
        <f t="array" aca="1" ref="I74" ca="1">IF(H74="","",IF(INDIRECT("'"&amp;$Q$3&amp;"'!"&amp;$Q$7&amp;(H74+1))=1,"ON","OFF"))</f>
        <v>ON</v>
      </c>
      <c r="J74" s="87" cm="1">
        <f t="array" aca="1" ref="J74" ca="1">IF(H74="","",IFERROR((INDIRECT("'"&amp;$Q$3&amp;"'!A"&amp;(H74+1))-INDIRECT("'"&amp;$Q$3&amp;"'!A2"))*86400,""))</f>
        <v>5.5999999999983174</v>
      </c>
      <c r="K74" s="88">
        <f t="shared" ca="1" si="4"/>
        <v>270</v>
      </c>
    </row>
    <row r="75" spans="1:11" x14ac:dyDescent="0.25">
      <c r="A75" s="60">
        <v>39</v>
      </c>
      <c r="B75" s="86" t="str" cm="1">
        <f t="array" aca="1" ref="B7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39),"")</f>
        <v/>
      </c>
      <c r="C75" s="86" t="str" cm="1">
        <f t="array" aca="1" ref="C75" ca="1">IF(B75="","",IF(INDIRECT("'"&amp;$Q$3&amp;"'!"&amp;$Q$6&amp;(B75+1))=1,"ON","OFF"))</f>
        <v/>
      </c>
      <c r="D75" s="87" t="str" cm="1">
        <f t="array" aca="1" ref="D75" ca="1">IF(B75="","",IFERROR((INDIRECT("'"&amp;$Q$3&amp;"'!A"&amp;(B75+1))-INDIRECT("'"&amp;$Q$3&amp;"'!A2"))*86400,""))</f>
        <v/>
      </c>
      <c r="E75" s="88" t="str">
        <f t="shared" ca="1" si="3"/>
        <v/>
      </c>
      <c r="G75" s="60">
        <v>39</v>
      </c>
      <c r="H75" s="86" cm="1">
        <f t="array" aca="1" ref="H7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39),"")</f>
        <v>583</v>
      </c>
      <c r="I75" s="86" t="str" cm="1">
        <f t="array" aca="1" ref="I75" ca="1">IF(H75="","",IF(INDIRECT("'"&amp;$Q$3&amp;"'!"&amp;$Q$7&amp;(H75+1))=1,"ON","OFF"))</f>
        <v>OFF</v>
      </c>
      <c r="J75" s="87" cm="1">
        <f t="array" aca="1" ref="J75" ca="1">IF(H75="","",IFERROR((INDIRECT("'"&amp;$Q$3&amp;"'!A"&amp;(H75+1))-INDIRECT("'"&amp;$Q$3&amp;"'!A2"))*86400,""))</f>
        <v>5.8699999999976882</v>
      </c>
      <c r="K75" s="88">
        <f t="shared" ca="1" si="4"/>
        <v>30</v>
      </c>
    </row>
    <row r="76" spans="1:11" x14ac:dyDescent="0.25">
      <c r="A76" s="60">
        <v>40</v>
      </c>
      <c r="B76" s="86" t="str" cm="1">
        <f t="array" aca="1" ref="B7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40),"")</f>
        <v/>
      </c>
      <c r="C76" s="86" t="str" cm="1">
        <f t="array" aca="1" ref="C76" ca="1">IF(B76="","",IF(INDIRECT("'"&amp;$Q$3&amp;"'!"&amp;$Q$6&amp;(B76+1))=1,"ON","OFF"))</f>
        <v/>
      </c>
      <c r="D76" s="87" t="str" cm="1">
        <f t="array" aca="1" ref="D76" ca="1">IF(B76="","",IFERROR((INDIRECT("'"&amp;$Q$3&amp;"'!A"&amp;(B76+1))-INDIRECT("'"&amp;$Q$3&amp;"'!A2"))*86400,""))</f>
        <v/>
      </c>
      <c r="E76" s="88" t="str">
        <f t="shared" ca="1" si="3"/>
        <v/>
      </c>
      <c r="G76" s="60">
        <v>40</v>
      </c>
      <c r="H76" s="86" cm="1">
        <f t="array" aca="1" ref="H7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40),"")</f>
        <v>586</v>
      </c>
      <c r="I76" s="86" t="str" cm="1">
        <f t="array" aca="1" ref="I76" ca="1">IF(H76="","",IF(INDIRECT("'"&amp;$Q$3&amp;"'!"&amp;$Q$7&amp;(H76+1))=1,"ON","OFF"))</f>
        <v>ON</v>
      </c>
      <c r="J76" s="87" cm="1">
        <f t="array" aca="1" ref="J76" ca="1">IF(H76="","",IFERROR((INDIRECT("'"&amp;$Q$3&amp;"'!A"&amp;(H76+1))-INDIRECT("'"&amp;$Q$3&amp;"'!A2"))*86400,""))</f>
        <v>5.8999999999954866</v>
      </c>
      <c r="K76" s="88">
        <f t="shared" ca="1" si="4"/>
        <v>270</v>
      </c>
    </row>
    <row r="77" spans="1:11" x14ac:dyDescent="0.25">
      <c r="A77" s="60">
        <v>41</v>
      </c>
      <c r="B77" s="86" t="str" cm="1">
        <f t="array" aca="1" ref="B7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41),"")</f>
        <v/>
      </c>
      <c r="C77" s="86" t="str" cm="1">
        <f t="array" aca="1" ref="C77" ca="1">IF(B77="","",IF(INDIRECT("'"&amp;$Q$3&amp;"'!"&amp;$Q$6&amp;(B77+1))=1,"ON","OFF"))</f>
        <v/>
      </c>
      <c r="D77" s="87" t="str" cm="1">
        <f t="array" aca="1" ref="D77" ca="1">IF(B77="","",IFERROR((INDIRECT("'"&amp;$Q$3&amp;"'!A"&amp;(B77+1))-INDIRECT("'"&amp;$Q$3&amp;"'!A2"))*86400,""))</f>
        <v/>
      </c>
      <c r="E77" s="88" t="str">
        <f t="shared" ca="1" si="3"/>
        <v/>
      </c>
      <c r="G77" s="60">
        <v>41</v>
      </c>
      <c r="H77" s="86" cm="1">
        <f t="array" aca="1" ref="H7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41),"")</f>
        <v>613</v>
      </c>
      <c r="I77" s="86" t="str" cm="1">
        <f t="array" aca="1" ref="I77" ca="1">IF(H77="","",IF(INDIRECT("'"&amp;$Q$3&amp;"'!"&amp;$Q$7&amp;(H77+1))=1,"ON","OFF"))</f>
        <v>OFF</v>
      </c>
      <c r="J77" s="87" cm="1">
        <f t="array" aca="1" ref="J77" ca="1">IF(H77="","",IFERROR((INDIRECT("'"&amp;$Q$3&amp;"'!A"&amp;(H77+1))-INDIRECT("'"&amp;$Q$3&amp;"'!A2"))*86400,""))</f>
        <v>6.1699999999948574</v>
      </c>
      <c r="K77" s="88">
        <f t="shared" ca="1" si="4"/>
        <v>30</v>
      </c>
    </row>
    <row r="78" spans="1:11" x14ac:dyDescent="0.25">
      <c r="A78" s="60">
        <v>42</v>
      </c>
      <c r="B78" s="86" t="str" cm="1">
        <f t="array" aca="1" ref="B7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42),"")</f>
        <v/>
      </c>
      <c r="C78" s="86" t="str" cm="1">
        <f t="array" aca="1" ref="C78" ca="1">IF(B78="","",IF(INDIRECT("'"&amp;$Q$3&amp;"'!"&amp;$Q$6&amp;(B78+1))=1,"ON","OFF"))</f>
        <v/>
      </c>
      <c r="D78" s="87" t="str" cm="1">
        <f t="array" aca="1" ref="D78" ca="1">IF(B78="","",IFERROR((INDIRECT("'"&amp;$Q$3&amp;"'!A"&amp;(B78+1))-INDIRECT("'"&amp;$Q$3&amp;"'!A2"))*86400,""))</f>
        <v/>
      </c>
      <c r="E78" s="88" t="str">
        <f t="shared" ca="1" si="3"/>
        <v/>
      </c>
      <c r="G78" s="60">
        <v>42</v>
      </c>
      <c r="H78" s="86" cm="1">
        <f t="array" aca="1" ref="H7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42),"")</f>
        <v>616</v>
      </c>
      <c r="I78" s="86" t="str" cm="1">
        <f t="array" aca="1" ref="I78" ca="1">IF(H78="","",IF(INDIRECT("'"&amp;$Q$3&amp;"'!"&amp;$Q$7&amp;(H78+1))=1,"ON","OFF"))</f>
        <v>ON</v>
      </c>
      <c r="J78" s="87" cm="1">
        <f t="array" aca="1" ref="J78" ca="1">IF(H78="","",IFERROR((INDIRECT("'"&amp;$Q$3&amp;"'!A"&amp;(H78+1))-INDIRECT("'"&amp;$Q$3&amp;"'!A2"))*86400,""))</f>
        <v>6.2000000000022482</v>
      </c>
      <c r="K78" s="88">
        <f t="shared" ca="1" si="4"/>
        <v>269</v>
      </c>
    </row>
    <row r="79" spans="1:11" x14ac:dyDescent="0.25">
      <c r="A79" s="60">
        <v>43</v>
      </c>
      <c r="B79" s="86" t="str" cm="1">
        <f t="array" aca="1" ref="B7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43),"")</f>
        <v/>
      </c>
      <c r="C79" s="86" t="str" cm="1">
        <f t="array" aca="1" ref="C79" ca="1">IF(B79="","",IF(INDIRECT("'"&amp;$Q$3&amp;"'!"&amp;$Q$6&amp;(B79+1))=1,"ON","OFF"))</f>
        <v/>
      </c>
      <c r="D79" s="87" t="str" cm="1">
        <f t="array" aca="1" ref="D79" ca="1">IF(B79="","",IFERROR((INDIRECT("'"&amp;$Q$3&amp;"'!A"&amp;(B79+1))-INDIRECT("'"&amp;$Q$3&amp;"'!A2"))*86400,""))</f>
        <v/>
      </c>
      <c r="E79" s="88" t="str">
        <f t="shared" ca="1" si="3"/>
        <v/>
      </c>
      <c r="G79" s="60">
        <v>43</v>
      </c>
      <c r="H79" s="86" cm="1">
        <f t="array" aca="1" ref="H7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43),"")</f>
        <v>643</v>
      </c>
      <c r="I79" s="86" t="str" cm="1">
        <f t="array" aca="1" ref="I79" ca="1">IF(H79="","",IF(INDIRECT("'"&amp;$Q$3&amp;"'!"&amp;$Q$7&amp;(H79+1))=1,"ON","OFF"))</f>
        <v>OFF</v>
      </c>
      <c r="J79" s="87" cm="1">
        <f t="array" aca="1" ref="J79" ca="1">IF(H79="","",IFERROR((INDIRECT("'"&amp;$Q$3&amp;"'!A"&amp;(H79+1))-INDIRECT("'"&amp;$Q$3&amp;"'!A2"))*86400,""))</f>
        <v>6.4689999999956171</v>
      </c>
      <c r="K79" s="88">
        <f t="shared" ca="1" si="4"/>
        <v>40</v>
      </c>
    </row>
    <row r="80" spans="1:11" x14ac:dyDescent="0.25">
      <c r="A80" s="60">
        <v>44</v>
      </c>
      <c r="B80" s="86" t="str" cm="1">
        <f t="array" aca="1" ref="B8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44),"")</f>
        <v/>
      </c>
      <c r="C80" s="86" t="str" cm="1">
        <f t="array" aca="1" ref="C80" ca="1">IF(B80="","",IF(INDIRECT("'"&amp;$Q$3&amp;"'!"&amp;$Q$6&amp;(B80+1))=1,"ON","OFF"))</f>
        <v/>
      </c>
      <c r="D80" s="87" t="str" cm="1">
        <f t="array" aca="1" ref="D80" ca="1">IF(B80="","",IFERROR((INDIRECT("'"&amp;$Q$3&amp;"'!A"&amp;(B80+1))-INDIRECT("'"&amp;$Q$3&amp;"'!A2"))*86400,""))</f>
        <v/>
      </c>
      <c r="E80" s="88" t="str">
        <f t="shared" ca="1" si="3"/>
        <v/>
      </c>
      <c r="G80" s="60">
        <v>44</v>
      </c>
      <c r="H80" s="86" cm="1">
        <f t="array" aca="1" ref="H8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44),"")</f>
        <v>647</v>
      </c>
      <c r="I80" s="86" t="str" cm="1">
        <f t="array" aca="1" ref="I80" ca="1">IF(H80="","",IF(INDIRECT("'"&amp;$Q$3&amp;"'!"&amp;$Q$7&amp;(H80+1))=1,"ON","OFF"))</f>
        <v>ON</v>
      </c>
      <c r="J80" s="87" cm="1">
        <f t="array" aca="1" ref="J80" ca="1">IF(H80="","",IFERROR((INDIRECT("'"&amp;$Q$3&amp;"'!A"&amp;(H80+1))-INDIRECT("'"&amp;$Q$3&amp;"'!A2"))*86400,""))</f>
        <v>6.5089999999958792</v>
      </c>
      <c r="K80" s="88">
        <f t="shared" ca="1" si="4"/>
        <v>260</v>
      </c>
    </row>
    <row r="81" spans="1:11" x14ac:dyDescent="0.25">
      <c r="A81" s="60">
        <v>45</v>
      </c>
      <c r="B81" s="86" t="str" cm="1">
        <f t="array" aca="1" ref="B8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45),"")</f>
        <v/>
      </c>
      <c r="C81" s="86" t="str" cm="1">
        <f t="array" aca="1" ref="C81" ca="1">IF(B81="","",IF(INDIRECT("'"&amp;$Q$3&amp;"'!"&amp;$Q$6&amp;(B81+1))=1,"ON","OFF"))</f>
        <v/>
      </c>
      <c r="D81" s="87" t="str" cm="1">
        <f t="array" aca="1" ref="D81" ca="1">IF(B81="","",IFERROR((INDIRECT("'"&amp;$Q$3&amp;"'!A"&amp;(B81+1))-INDIRECT("'"&amp;$Q$3&amp;"'!A2"))*86400,""))</f>
        <v/>
      </c>
      <c r="E81" s="88" t="str">
        <f t="shared" ca="1" si="3"/>
        <v/>
      </c>
      <c r="G81" s="60">
        <v>45</v>
      </c>
      <c r="H81" s="86" cm="1">
        <f t="array" aca="1" ref="H8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45),"")</f>
        <v>673</v>
      </c>
      <c r="I81" s="86" t="str" cm="1">
        <f t="array" aca="1" ref="I81" ca="1">IF(H81="","",IF(INDIRECT("'"&amp;$Q$3&amp;"'!"&amp;$Q$7&amp;(H81+1))=1,"ON","OFF"))</f>
        <v>OFF</v>
      </c>
      <c r="J81" s="87" cm="1">
        <f t="array" aca="1" ref="J81" ca="1">IF(H81="","",IFERROR((INDIRECT("'"&amp;$Q$3&amp;"'!A"&amp;(H81+1))-INDIRECT("'"&amp;$Q$3&amp;"'!A2"))*86400,""))</f>
        <v>6.7690000000023787</v>
      </c>
      <c r="K81" s="88">
        <f t="shared" ca="1" si="4"/>
        <v>29</v>
      </c>
    </row>
    <row r="82" spans="1:11" x14ac:dyDescent="0.25">
      <c r="A82" s="60">
        <v>46</v>
      </c>
      <c r="B82" s="86" t="str" cm="1">
        <f t="array" aca="1" ref="B8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46),"")</f>
        <v/>
      </c>
      <c r="C82" s="86" t="str" cm="1">
        <f t="array" aca="1" ref="C82" ca="1">IF(B82="","",IF(INDIRECT("'"&amp;$Q$3&amp;"'!"&amp;$Q$6&amp;(B82+1))=1,"ON","OFF"))</f>
        <v/>
      </c>
      <c r="D82" s="87" t="str" cm="1">
        <f t="array" aca="1" ref="D82" ca="1">IF(B82="","",IFERROR((INDIRECT("'"&amp;$Q$3&amp;"'!A"&amp;(B82+1))-INDIRECT("'"&amp;$Q$3&amp;"'!A2"))*86400,""))</f>
        <v/>
      </c>
      <c r="E82" s="88" t="str">
        <f t="shared" ca="1" si="3"/>
        <v/>
      </c>
      <c r="G82" s="60">
        <v>46</v>
      </c>
      <c r="H82" s="86" cm="1">
        <f t="array" aca="1" ref="H8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46),"")</f>
        <v>676</v>
      </c>
      <c r="I82" s="86" t="str" cm="1">
        <f t="array" aca="1" ref="I82" ca="1">IF(H82="","",IF(INDIRECT("'"&amp;$Q$3&amp;"'!"&amp;$Q$7&amp;(H82+1))=1,"ON","OFF"))</f>
        <v>ON</v>
      </c>
      <c r="J82" s="87" cm="1">
        <f t="array" aca="1" ref="J82" ca="1">IF(H82="","",IFERROR((INDIRECT("'"&amp;$Q$3&amp;"'!A"&amp;(H82+1))-INDIRECT("'"&amp;$Q$3&amp;"'!A2"))*86400,""))</f>
        <v>6.7979999999941754</v>
      </c>
      <c r="K82" s="88">
        <f t="shared" ca="1" si="4"/>
        <v>270</v>
      </c>
    </row>
    <row r="83" spans="1:11" x14ac:dyDescent="0.25">
      <c r="A83" s="60">
        <v>47</v>
      </c>
      <c r="B83" s="86" t="str" cm="1">
        <f t="array" aca="1" ref="B8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47),"")</f>
        <v/>
      </c>
      <c r="C83" s="86" t="str" cm="1">
        <f t="array" aca="1" ref="C83" ca="1">IF(B83="","",IF(INDIRECT("'"&amp;$Q$3&amp;"'!"&amp;$Q$6&amp;(B83+1))=1,"ON","OFF"))</f>
        <v/>
      </c>
      <c r="D83" s="87" t="str" cm="1">
        <f t="array" aca="1" ref="D83" ca="1">IF(B83="","",IFERROR((INDIRECT("'"&amp;$Q$3&amp;"'!A"&amp;(B83+1))-INDIRECT("'"&amp;$Q$3&amp;"'!A2"))*86400,""))</f>
        <v/>
      </c>
      <c r="E83" s="88" t="str">
        <f t="shared" ca="1" si="3"/>
        <v/>
      </c>
      <c r="G83" s="60">
        <v>47</v>
      </c>
      <c r="H83" s="86" cm="1">
        <f t="array" aca="1" ref="H8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47),"")</f>
        <v>702</v>
      </c>
      <c r="I83" s="86" t="str" cm="1">
        <f t="array" aca="1" ref="I83" ca="1">IF(H83="","",IF(INDIRECT("'"&amp;$Q$3&amp;"'!"&amp;$Q$7&amp;(H83+1))=1,"ON","OFF"))</f>
        <v>OFF</v>
      </c>
      <c r="J83" s="87" cm="1">
        <f t="array" aca="1" ref="J83" ca="1">IF(H83="","",IFERROR((INDIRECT("'"&amp;$Q$3&amp;"'!A"&amp;(H83+1))-INDIRECT("'"&amp;$Q$3&amp;"'!A2"))*86400,""))</f>
        <v>7.0679999999935461</v>
      </c>
      <c r="K83" s="88">
        <f t="shared" ca="1" si="4"/>
        <v>40</v>
      </c>
    </row>
    <row r="84" spans="1:11" x14ac:dyDescent="0.25">
      <c r="A84" s="60">
        <v>48</v>
      </c>
      <c r="B84" s="86" t="str" cm="1">
        <f t="array" aca="1" ref="B8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48),"")</f>
        <v/>
      </c>
      <c r="C84" s="86" t="str" cm="1">
        <f t="array" aca="1" ref="C84" ca="1">IF(B84="","",IF(INDIRECT("'"&amp;$Q$3&amp;"'!"&amp;$Q$6&amp;(B84+1))=1,"ON","OFF"))</f>
        <v/>
      </c>
      <c r="D84" s="87" t="str" cm="1">
        <f t="array" aca="1" ref="D84" ca="1">IF(B84="","",IFERROR((INDIRECT("'"&amp;$Q$3&amp;"'!A"&amp;(B84+1))-INDIRECT("'"&amp;$Q$3&amp;"'!A2"))*86400,""))</f>
        <v/>
      </c>
      <c r="E84" s="88" t="str">
        <f t="shared" ca="1" si="3"/>
        <v/>
      </c>
      <c r="G84" s="60">
        <v>48</v>
      </c>
      <c r="H84" s="86" cm="1">
        <f t="array" aca="1" ref="H8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48),"")</f>
        <v>706</v>
      </c>
      <c r="I84" s="86" t="str" cm="1">
        <f t="array" aca="1" ref="I84" ca="1">IF(H84="","",IF(INDIRECT("'"&amp;$Q$3&amp;"'!"&amp;$Q$7&amp;(H84+1))=1,"ON","OFF"))</f>
        <v>ON</v>
      </c>
      <c r="J84" s="87" cm="1">
        <f t="array" aca="1" ref="J84" ca="1">IF(H84="","",IFERROR((INDIRECT("'"&amp;$Q$3&amp;"'!A"&amp;(H84+1))-INDIRECT("'"&amp;$Q$3&amp;"'!A2"))*86400,""))</f>
        <v>7.1079999999938082</v>
      </c>
      <c r="K84" s="88">
        <f t="shared" ca="1" si="4"/>
        <v>260</v>
      </c>
    </row>
    <row r="85" spans="1:11" x14ac:dyDescent="0.25">
      <c r="A85" s="60">
        <v>49</v>
      </c>
      <c r="B85" s="86" t="str" cm="1">
        <f t="array" aca="1" ref="B8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49),"")</f>
        <v/>
      </c>
      <c r="C85" s="86" t="str" cm="1">
        <f t="array" aca="1" ref="C85" ca="1">IF(B85="","",IF(INDIRECT("'"&amp;$Q$3&amp;"'!"&amp;$Q$6&amp;(B85+1))=1,"ON","OFF"))</f>
        <v/>
      </c>
      <c r="D85" s="87" t="str" cm="1">
        <f t="array" aca="1" ref="D85" ca="1">IF(B85="","",IFERROR((INDIRECT("'"&amp;$Q$3&amp;"'!A"&amp;(B85+1))-INDIRECT("'"&amp;$Q$3&amp;"'!A2"))*86400,""))</f>
        <v/>
      </c>
      <c r="E85" s="88" t="str">
        <f t="shared" ca="1" si="3"/>
        <v/>
      </c>
      <c r="G85" s="60">
        <v>49</v>
      </c>
      <c r="H85" s="86" cm="1">
        <f t="array" aca="1" ref="H8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49),"")</f>
        <v>732</v>
      </c>
      <c r="I85" s="86" t="str" cm="1">
        <f t="array" aca="1" ref="I85" ca="1">IF(H85="","",IF(INDIRECT("'"&amp;$Q$3&amp;"'!"&amp;$Q$7&amp;(H85+1))=1,"ON","OFF"))</f>
        <v>OFF</v>
      </c>
      <c r="J85" s="87" cm="1">
        <f t="array" aca="1" ref="J85" ca="1">IF(H85="","",IFERROR((INDIRECT("'"&amp;$Q$3&amp;"'!A"&amp;(H85+1))-INDIRECT("'"&amp;$Q$3&amp;"'!A2"))*86400,""))</f>
        <v>7.3680000000003076</v>
      </c>
      <c r="K85" s="88">
        <f t="shared" ca="1" si="4"/>
        <v>39</v>
      </c>
    </row>
    <row r="86" spans="1:11" x14ac:dyDescent="0.25">
      <c r="A86" s="60">
        <v>50</v>
      </c>
      <c r="B86" s="86" t="str" cm="1">
        <f t="array" aca="1" ref="B8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50),"")</f>
        <v/>
      </c>
      <c r="C86" s="86" t="str" cm="1">
        <f t="array" aca="1" ref="C86" ca="1">IF(B86="","",IF(INDIRECT("'"&amp;$Q$3&amp;"'!"&amp;$Q$6&amp;(B86+1))=1,"ON","OFF"))</f>
        <v/>
      </c>
      <c r="D86" s="87" t="str" cm="1">
        <f t="array" aca="1" ref="D86" ca="1">IF(B86="","",IFERROR((INDIRECT("'"&amp;$Q$3&amp;"'!A"&amp;(B86+1))-INDIRECT("'"&amp;$Q$3&amp;"'!A2"))*86400,""))</f>
        <v/>
      </c>
      <c r="E86" s="88" t="str">
        <f t="shared" ca="1" si="3"/>
        <v/>
      </c>
      <c r="G86" s="60">
        <v>50</v>
      </c>
      <c r="H86" s="86" cm="1">
        <f t="array" aca="1" ref="H8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50),"")</f>
        <v>736</v>
      </c>
      <c r="I86" s="86" t="str" cm="1">
        <f t="array" aca="1" ref="I86" ca="1">IF(H86="","",IF(INDIRECT("'"&amp;$Q$3&amp;"'!"&amp;$Q$7&amp;(H86+1))=1,"ON","OFF"))</f>
        <v>ON</v>
      </c>
      <c r="J86" s="87" cm="1">
        <f t="array" aca="1" ref="J86" ca="1">IF(H86="","",IFERROR((INDIRECT("'"&amp;$Q$3&amp;"'!A"&amp;(H86+1))-INDIRECT("'"&amp;$Q$3&amp;"'!A2"))*86400,""))</f>
        <v>7.4069999999945679</v>
      </c>
      <c r="K86" s="88">
        <f t="shared" ca="1" si="4"/>
        <v>260</v>
      </c>
    </row>
    <row r="87" spans="1:11" x14ac:dyDescent="0.25">
      <c r="A87" s="60">
        <v>51</v>
      </c>
      <c r="B87" s="86" t="str" cm="1">
        <f t="array" aca="1" ref="B8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51),"")</f>
        <v/>
      </c>
      <c r="C87" s="86" t="str" cm="1">
        <f t="array" aca="1" ref="C87" ca="1">IF(B87="","",IF(INDIRECT("'"&amp;$Q$3&amp;"'!"&amp;$Q$6&amp;(B87+1))=1,"ON","OFF"))</f>
        <v/>
      </c>
      <c r="D87" s="87" t="str" cm="1">
        <f t="array" aca="1" ref="D87" ca="1">IF(B87="","",IFERROR((INDIRECT("'"&amp;$Q$3&amp;"'!A"&amp;(B87+1))-INDIRECT("'"&amp;$Q$3&amp;"'!A2"))*86400,""))</f>
        <v/>
      </c>
      <c r="E87" s="88" t="str">
        <f t="shared" ca="1" si="3"/>
        <v/>
      </c>
      <c r="G87" s="60">
        <v>51</v>
      </c>
      <c r="H87" s="86" cm="1">
        <f t="array" aca="1" ref="H8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51),"")</f>
        <v>762</v>
      </c>
      <c r="I87" s="86" t="str" cm="1">
        <f t="array" aca="1" ref="I87" ca="1">IF(H87="","",IF(INDIRECT("'"&amp;$Q$3&amp;"'!"&amp;$Q$7&amp;(H87+1))=1,"ON","OFF"))</f>
        <v>OFF</v>
      </c>
      <c r="J87" s="87" cm="1">
        <f t="array" aca="1" ref="J87" ca="1">IF(H87="","",IFERROR((INDIRECT("'"&amp;$Q$3&amp;"'!A"&amp;(H87+1))-INDIRECT("'"&amp;$Q$3&amp;"'!A2"))*86400,""))</f>
        <v>7.6670000000010674</v>
      </c>
      <c r="K87" s="88">
        <f t="shared" ca="1" si="4"/>
        <v>40</v>
      </c>
    </row>
    <row r="88" spans="1:11" x14ac:dyDescent="0.25">
      <c r="A88" s="60">
        <v>52</v>
      </c>
      <c r="B88" s="86" t="str" cm="1">
        <f t="array" aca="1" ref="B8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52),"")</f>
        <v/>
      </c>
      <c r="C88" s="86" t="str" cm="1">
        <f t="array" aca="1" ref="C88" ca="1">IF(B88="","",IF(INDIRECT("'"&amp;$Q$3&amp;"'!"&amp;$Q$6&amp;(B88+1))=1,"ON","OFF"))</f>
        <v/>
      </c>
      <c r="D88" s="87" t="str" cm="1">
        <f t="array" aca="1" ref="D88" ca="1">IF(B88="","",IFERROR((INDIRECT("'"&amp;$Q$3&amp;"'!A"&amp;(B88+1))-INDIRECT("'"&amp;$Q$3&amp;"'!A2"))*86400,""))</f>
        <v/>
      </c>
      <c r="E88" s="88" t="str">
        <f t="shared" ca="1" si="3"/>
        <v/>
      </c>
      <c r="G88" s="60">
        <v>52</v>
      </c>
      <c r="H88" s="86" cm="1">
        <f t="array" aca="1" ref="H8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52),"")</f>
        <v>766</v>
      </c>
      <c r="I88" s="86" t="str" cm="1">
        <f t="array" aca="1" ref="I88" ca="1">IF(H88="","",IF(INDIRECT("'"&amp;$Q$3&amp;"'!"&amp;$Q$7&amp;(H88+1))=1,"ON","OFF"))</f>
        <v>ON</v>
      </c>
      <c r="J88" s="87" cm="1">
        <f t="array" aca="1" ref="J88" ca="1">IF(H88="","",IFERROR((INDIRECT("'"&amp;$Q$3&amp;"'!A"&amp;(H88+1))-INDIRECT("'"&amp;$Q$3&amp;"'!A2"))*86400,""))</f>
        <v>7.7070000000013295</v>
      </c>
      <c r="K88" s="88">
        <f t="shared" ca="1" si="4"/>
        <v>260</v>
      </c>
    </row>
    <row r="89" spans="1:11" x14ac:dyDescent="0.25">
      <c r="A89" s="60">
        <v>53</v>
      </c>
      <c r="B89" s="86" t="str" cm="1">
        <f t="array" aca="1" ref="B8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53),"")</f>
        <v/>
      </c>
      <c r="C89" s="86" t="str" cm="1">
        <f t="array" aca="1" ref="C89" ca="1">IF(B89="","",IF(INDIRECT("'"&amp;$Q$3&amp;"'!"&amp;$Q$6&amp;(B89+1))=1,"ON","OFF"))</f>
        <v/>
      </c>
      <c r="D89" s="87" t="str" cm="1">
        <f t="array" aca="1" ref="D89" ca="1">IF(B89="","",IFERROR((INDIRECT("'"&amp;$Q$3&amp;"'!A"&amp;(B89+1))-INDIRECT("'"&amp;$Q$3&amp;"'!A2"))*86400,""))</f>
        <v/>
      </c>
      <c r="E89" s="88" t="str">
        <f t="shared" ca="1" si="3"/>
        <v/>
      </c>
      <c r="G89" s="60">
        <v>53</v>
      </c>
      <c r="H89" s="86" cm="1">
        <f t="array" aca="1" ref="H8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53),"")</f>
        <v>791</v>
      </c>
      <c r="I89" s="86" t="str" cm="1">
        <f t="array" aca="1" ref="I89" ca="1">IF(H89="","",IF(INDIRECT("'"&amp;$Q$3&amp;"'!"&amp;$Q$7&amp;(H89+1))=1,"ON","OFF"))</f>
        <v>OFF</v>
      </c>
      <c r="J89" s="87" cm="1">
        <f t="array" aca="1" ref="J89" ca="1">IF(H89="","",IFERROR((INDIRECT("'"&amp;$Q$3&amp;"'!A"&amp;(H89+1))-INDIRECT("'"&amp;$Q$3&amp;"'!A2"))*86400,""))</f>
        <v>7.9669999999982366</v>
      </c>
      <c r="K89" s="88">
        <f t="shared" ca="1" si="4"/>
        <v>39</v>
      </c>
    </row>
    <row r="90" spans="1:11" x14ac:dyDescent="0.25">
      <c r="A90" s="60">
        <v>54</v>
      </c>
      <c r="B90" s="86" t="str" cm="1">
        <f t="array" aca="1" ref="B9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54),"")</f>
        <v/>
      </c>
      <c r="C90" s="86" t="str" cm="1">
        <f t="array" aca="1" ref="C90" ca="1">IF(B90="","",IF(INDIRECT("'"&amp;$Q$3&amp;"'!"&amp;$Q$6&amp;(B90+1))=1,"ON","OFF"))</f>
        <v/>
      </c>
      <c r="D90" s="87" t="str" cm="1">
        <f t="array" aca="1" ref="D90" ca="1">IF(B90="","",IFERROR((INDIRECT("'"&amp;$Q$3&amp;"'!A"&amp;(B90+1))-INDIRECT("'"&amp;$Q$3&amp;"'!A2"))*86400,""))</f>
        <v/>
      </c>
      <c r="E90" s="88" t="str">
        <f t="shared" ca="1" si="3"/>
        <v/>
      </c>
      <c r="G90" s="60">
        <v>54</v>
      </c>
      <c r="H90" s="86" cm="1">
        <f t="array" aca="1" ref="H9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54),"")</f>
        <v>795</v>
      </c>
      <c r="I90" s="86" t="str" cm="1">
        <f t="array" aca="1" ref="I90" ca="1">IF(H90="","",IF(INDIRECT("'"&amp;$Q$3&amp;"'!"&amp;$Q$7&amp;(H90+1))=1,"ON","OFF"))</f>
        <v>ON</v>
      </c>
      <c r="J90" s="87" cm="1">
        <f t="array" aca="1" ref="J90" ca="1">IF(H90="","",IFERROR((INDIRECT("'"&amp;$Q$3&amp;"'!A"&amp;(H90+1))-INDIRECT("'"&amp;$Q$3&amp;"'!A2"))*86400,""))</f>
        <v>8.0060000000020892</v>
      </c>
      <c r="K90" s="88">
        <f t="shared" ca="1" si="4"/>
        <v>260</v>
      </c>
    </row>
    <row r="91" spans="1:11" x14ac:dyDescent="0.25">
      <c r="A91" s="60">
        <v>55</v>
      </c>
      <c r="B91" s="86" t="str" cm="1">
        <f t="array" aca="1" ref="B9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55),"")</f>
        <v/>
      </c>
      <c r="C91" s="86" t="str" cm="1">
        <f t="array" aca="1" ref="C91" ca="1">IF(B91="","",IF(INDIRECT("'"&amp;$Q$3&amp;"'!"&amp;$Q$6&amp;(B91+1))=1,"ON","OFF"))</f>
        <v/>
      </c>
      <c r="D91" s="87" t="str" cm="1">
        <f t="array" aca="1" ref="D91" ca="1">IF(B91="","",IFERROR((INDIRECT("'"&amp;$Q$3&amp;"'!A"&amp;(B91+1))-INDIRECT("'"&amp;$Q$3&amp;"'!A2"))*86400,""))</f>
        <v/>
      </c>
      <c r="E91" s="88" t="str">
        <f t="shared" ca="1" si="3"/>
        <v/>
      </c>
      <c r="G91" s="60">
        <v>55</v>
      </c>
      <c r="H91" s="86" cm="1">
        <f t="array" aca="1" ref="H9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55),"")</f>
        <v>821</v>
      </c>
      <c r="I91" s="86" t="str" cm="1">
        <f t="array" aca="1" ref="I91" ca="1">IF(H91="","",IF(INDIRECT("'"&amp;$Q$3&amp;"'!"&amp;$Q$7&amp;(H91+1))=1,"ON","OFF"))</f>
        <v>OFF</v>
      </c>
      <c r="J91" s="87" cm="1">
        <f t="array" aca="1" ref="J91" ca="1">IF(H91="","",IFERROR((INDIRECT("'"&amp;$Q$3&amp;"'!A"&amp;(H91+1))-INDIRECT("'"&amp;$Q$3&amp;"'!A2"))*86400,""))</f>
        <v>8.2659999999989964</v>
      </c>
      <c r="K91" s="88">
        <f t="shared" ca="1" si="4"/>
        <v>40</v>
      </c>
    </row>
    <row r="92" spans="1:11" x14ac:dyDescent="0.25">
      <c r="A92" s="60">
        <v>56</v>
      </c>
      <c r="B92" s="86" t="str" cm="1">
        <f t="array" aca="1" ref="B9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56),"")</f>
        <v/>
      </c>
      <c r="C92" s="86" t="str" cm="1">
        <f t="array" aca="1" ref="C92" ca="1">IF(B92="","",IF(INDIRECT("'"&amp;$Q$3&amp;"'!"&amp;$Q$6&amp;(B92+1))=1,"ON","OFF"))</f>
        <v/>
      </c>
      <c r="D92" s="87" t="str" cm="1">
        <f t="array" aca="1" ref="D92" ca="1">IF(B92="","",IFERROR((INDIRECT("'"&amp;$Q$3&amp;"'!A"&amp;(B92+1))-INDIRECT("'"&amp;$Q$3&amp;"'!A2"))*86400,""))</f>
        <v/>
      </c>
      <c r="E92" s="88" t="str">
        <f t="shared" ca="1" si="3"/>
        <v/>
      </c>
      <c r="G92" s="60">
        <v>56</v>
      </c>
      <c r="H92" s="86" cm="1">
        <f t="array" aca="1" ref="H9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56),"")</f>
        <v>825</v>
      </c>
      <c r="I92" s="86" t="str" cm="1">
        <f t="array" aca="1" ref="I92" ca="1">IF(H92="","",IF(INDIRECT("'"&amp;$Q$3&amp;"'!"&amp;$Q$7&amp;(H92+1))=1,"ON","OFF"))</f>
        <v>ON</v>
      </c>
      <c r="J92" s="87" cm="1">
        <f t="array" aca="1" ref="J92" ca="1">IF(H92="","",IFERROR((INDIRECT("'"&amp;$Q$3&amp;"'!A"&amp;(H92+1))-INDIRECT("'"&amp;$Q$3&amp;"'!A2"))*86400,""))</f>
        <v>8.3059999999992584</v>
      </c>
      <c r="K92" s="88">
        <f t="shared" ca="1" si="4"/>
        <v>260</v>
      </c>
    </row>
    <row r="93" spans="1:11" x14ac:dyDescent="0.25">
      <c r="A93" s="60">
        <v>57</v>
      </c>
      <c r="B93" s="86" t="str" cm="1">
        <f t="array" aca="1" ref="B9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57),"")</f>
        <v/>
      </c>
      <c r="C93" s="86" t="str" cm="1">
        <f t="array" aca="1" ref="C93" ca="1">IF(B93="","",IF(INDIRECT("'"&amp;$Q$3&amp;"'!"&amp;$Q$6&amp;(B93+1))=1,"ON","OFF"))</f>
        <v/>
      </c>
      <c r="D93" s="87" t="str" cm="1">
        <f t="array" aca="1" ref="D93" ca="1">IF(B93="","",IFERROR((INDIRECT("'"&amp;$Q$3&amp;"'!A"&amp;(B93+1))-INDIRECT("'"&amp;$Q$3&amp;"'!A2"))*86400,""))</f>
        <v/>
      </c>
      <c r="E93" s="88" t="str">
        <f t="shared" ca="1" si="3"/>
        <v/>
      </c>
      <c r="G93" s="60">
        <v>57</v>
      </c>
      <c r="H93" s="86" cm="1">
        <f t="array" aca="1" ref="H9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57),"")</f>
        <v>851</v>
      </c>
      <c r="I93" s="86" t="str" cm="1">
        <f t="array" aca="1" ref="I93" ca="1">IF(H93="","",IF(INDIRECT("'"&amp;$Q$3&amp;"'!"&amp;$Q$7&amp;(H93+1))=1,"ON","OFF"))</f>
        <v>OFF</v>
      </c>
      <c r="J93" s="87" cm="1">
        <f t="array" aca="1" ref="J93" ca="1">IF(H93="","",IFERROR((INDIRECT("'"&amp;$Q$3&amp;"'!A"&amp;(H93+1))-INDIRECT("'"&amp;$Q$3&amp;"'!A2"))*86400,""))</f>
        <v>8.5659999999961656</v>
      </c>
      <c r="K93" s="88">
        <f t="shared" ca="1" si="4"/>
        <v>39</v>
      </c>
    </row>
    <row r="94" spans="1:11" x14ac:dyDescent="0.25">
      <c r="A94" s="60">
        <v>58</v>
      </c>
      <c r="B94" s="86" t="str" cm="1">
        <f t="array" aca="1" ref="B9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58),"")</f>
        <v/>
      </c>
      <c r="C94" s="86" t="str" cm="1">
        <f t="array" aca="1" ref="C94" ca="1">IF(B94="","",IF(INDIRECT("'"&amp;$Q$3&amp;"'!"&amp;$Q$6&amp;(B94+1))=1,"ON","OFF"))</f>
        <v/>
      </c>
      <c r="D94" s="87" t="str" cm="1">
        <f t="array" aca="1" ref="D94" ca="1">IF(B94="","",IFERROR((INDIRECT("'"&amp;$Q$3&amp;"'!A"&amp;(B94+1))-INDIRECT("'"&amp;$Q$3&amp;"'!A2"))*86400,""))</f>
        <v/>
      </c>
      <c r="E94" s="88" t="str">
        <f t="shared" ca="1" si="3"/>
        <v/>
      </c>
      <c r="G94" s="60">
        <v>58</v>
      </c>
      <c r="H94" s="86" cm="1">
        <f t="array" aca="1" ref="H9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58),"")</f>
        <v>855</v>
      </c>
      <c r="I94" s="86" t="str" cm="1">
        <f t="array" aca="1" ref="I94" ca="1">IF(H94="","",IF(INDIRECT("'"&amp;$Q$3&amp;"'!"&amp;$Q$7&amp;(H94+1))=1,"ON","OFF"))</f>
        <v>ON</v>
      </c>
      <c r="J94" s="87" cm="1">
        <f t="array" aca="1" ref="J94" ca="1">IF(H94="","",IFERROR((INDIRECT("'"&amp;$Q$3&amp;"'!A"&amp;(H94+1))-INDIRECT("'"&amp;$Q$3&amp;"'!A2"))*86400,""))</f>
        <v>8.6050000000000182</v>
      </c>
      <c r="K94" s="88">
        <f t="shared" ca="1" si="4"/>
        <v>260</v>
      </c>
    </row>
    <row r="95" spans="1:11" x14ac:dyDescent="0.25">
      <c r="A95" s="60">
        <v>59</v>
      </c>
      <c r="B95" s="86" t="str" cm="1">
        <f t="array" aca="1" ref="B9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59),"")</f>
        <v/>
      </c>
      <c r="C95" s="86" t="str" cm="1">
        <f t="array" aca="1" ref="C95" ca="1">IF(B95="","",IF(INDIRECT("'"&amp;$Q$3&amp;"'!"&amp;$Q$6&amp;(B95+1))=1,"ON","OFF"))</f>
        <v/>
      </c>
      <c r="D95" s="87" t="str" cm="1">
        <f t="array" aca="1" ref="D95" ca="1">IF(B95="","",IFERROR((INDIRECT("'"&amp;$Q$3&amp;"'!A"&amp;(B95+1))-INDIRECT("'"&amp;$Q$3&amp;"'!A2"))*86400,""))</f>
        <v/>
      </c>
      <c r="E95" s="88" t="str">
        <f t="shared" ca="1" si="3"/>
        <v/>
      </c>
      <c r="G95" s="60">
        <v>59</v>
      </c>
      <c r="H95" s="86" cm="1">
        <f t="array" aca="1" ref="H9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59),"")</f>
        <v>880</v>
      </c>
      <c r="I95" s="86" t="str" cm="1">
        <f t="array" aca="1" ref="I95" ca="1">IF(H95="","",IF(INDIRECT("'"&amp;$Q$3&amp;"'!"&amp;$Q$7&amp;(H95+1))=1,"ON","OFF"))</f>
        <v>OFF</v>
      </c>
      <c r="J95" s="87" cm="1">
        <f t="array" aca="1" ref="J95" ca="1">IF(H95="","",IFERROR((INDIRECT("'"&amp;$Q$3&amp;"'!A"&amp;(H95+1))-INDIRECT("'"&amp;$Q$3&amp;"'!A2"))*86400,""))</f>
        <v>8.8649999999969253</v>
      </c>
      <c r="K95" s="88">
        <f t="shared" ca="1" si="4"/>
        <v>40</v>
      </c>
    </row>
    <row r="96" spans="1:11" x14ac:dyDescent="0.25">
      <c r="A96" s="60">
        <v>60</v>
      </c>
      <c r="B96" s="86" t="str" cm="1">
        <f t="array" aca="1" ref="B9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60),"")</f>
        <v/>
      </c>
      <c r="C96" s="86" t="str" cm="1">
        <f t="array" aca="1" ref="C96" ca="1">IF(B96="","",IF(INDIRECT("'"&amp;$Q$3&amp;"'!"&amp;$Q$6&amp;(B96+1))=1,"ON","OFF"))</f>
        <v/>
      </c>
      <c r="D96" s="87" t="str" cm="1">
        <f t="array" aca="1" ref="D96" ca="1">IF(B96="","",IFERROR((INDIRECT("'"&amp;$Q$3&amp;"'!A"&amp;(B96+1))-INDIRECT("'"&amp;$Q$3&amp;"'!A2"))*86400,""))</f>
        <v/>
      </c>
      <c r="E96" s="88" t="str">
        <f t="shared" ca="1" si="3"/>
        <v/>
      </c>
      <c r="G96" s="60">
        <v>60</v>
      </c>
      <c r="H96" s="86" cm="1">
        <f t="array" aca="1" ref="H9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60),"")</f>
        <v>884</v>
      </c>
      <c r="I96" s="86" t="str" cm="1">
        <f t="array" aca="1" ref="I96" ca="1">IF(H96="","",IF(INDIRECT("'"&amp;$Q$3&amp;"'!"&amp;$Q$7&amp;(H96+1))=1,"ON","OFF"))</f>
        <v>ON</v>
      </c>
      <c r="J96" s="87" cm="1">
        <f t="array" aca="1" ref="J96" ca="1">IF(H96="","",IFERROR((INDIRECT("'"&amp;$Q$3&amp;"'!A"&amp;(H96+1))-INDIRECT("'"&amp;$Q$3&amp;"'!A2"))*86400,""))</f>
        <v>8.9049999999971874</v>
      </c>
      <c r="K96" s="88">
        <f t="shared" ca="1" si="4"/>
        <v>260</v>
      </c>
    </row>
    <row r="97" spans="1:11" x14ac:dyDescent="0.25">
      <c r="A97" s="60">
        <v>61</v>
      </c>
      <c r="B97" s="86" t="str" cm="1">
        <f t="array" aca="1" ref="B9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61),"")</f>
        <v/>
      </c>
      <c r="C97" s="86" t="str" cm="1">
        <f t="array" aca="1" ref="C97" ca="1">IF(B97="","",IF(INDIRECT("'"&amp;$Q$3&amp;"'!"&amp;$Q$6&amp;(B97+1))=1,"ON","OFF"))</f>
        <v/>
      </c>
      <c r="D97" s="87" t="str" cm="1">
        <f t="array" aca="1" ref="D97" ca="1">IF(B97="","",IFERROR((INDIRECT("'"&amp;$Q$3&amp;"'!A"&amp;(B97+1))-INDIRECT("'"&amp;$Q$3&amp;"'!A2"))*86400,""))</f>
        <v/>
      </c>
      <c r="E97" s="88" t="str">
        <f t="shared" ca="1" si="3"/>
        <v/>
      </c>
      <c r="G97" s="60">
        <v>61</v>
      </c>
      <c r="H97" s="86" cm="1">
        <f t="array" aca="1" ref="H9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61),"")</f>
        <v>910</v>
      </c>
      <c r="I97" s="86" t="str" cm="1">
        <f t="array" aca="1" ref="I97" ca="1">IF(H97="","",IF(INDIRECT("'"&amp;$Q$3&amp;"'!"&amp;$Q$7&amp;(H97+1))=1,"ON","OFF"))</f>
        <v>OFF</v>
      </c>
      <c r="J97" s="87" cm="1">
        <f t="array" aca="1" ref="J97" ca="1">IF(H97="","",IFERROR((INDIRECT("'"&amp;$Q$3&amp;"'!A"&amp;(H97+1))-INDIRECT("'"&amp;$Q$3&amp;"'!A2"))*86400,""))</f>
        <v>9.1649999999940945</v>
      </c>
      <c r="K97" s="88">
        <f t="shared" ca="1" si="4"/>
        <v>39</v>
      </c>
    </row>
    <row r="98" spans="1:11" x14ac:dyDescent="0.25">
      <c r="A98" s="60">
        <v>62</v>
      </c>
      <c r="B98" s="86" t="str" cm="1">
        <f t="array" aca="1" ref="B9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62),"")</f>
        <v/>
      </c>
      <c r="C98" s="86" t="str" cm="1">
        <f t="array" aca="1" ref="C98" ca="1">IF(B98="","",IF(INDIRECT("'"&amp;$Q$3&amp;"'!"&amp;$Q$6&amp;(B98+1))=1,"ON","OFF"))</f>
        <v/>
      </c>
      <c r="D98" s="87" t="str" cm="1">
        <f t="array" aca="1" ref="D98" ca="1">IF(B98="","",IFERROR((INDIRECT("'"&amp;$Q$3&amp;"'!A"&amp;(B98+1))-INDIRECT("'"&amp;$Q$3&amp;"'!A2"))*86400,""))</f>
        <v/>
      </c>
      <c r="E98" s="88" t="str">
        <f t="shared" ca="1" si="3"/>
        <v/>
      </c>
      <c r="G98" s="60">
        <v>62</v>
      </c>
      <c r="H98" s="86" cm="1">
        <f t="array" aca="1" ref="H9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62),"")</f>
        <v>914</v>
      </c>
      <c r="I98" s="86" t="str" cm="1">
        <f t="array" aca="1" ref="I98" ca="1">IF(H98="","",IF(INDIRECT("'"&amp;$Q$3&amp;"'!"&amp;$Q$7&amp;(H98+1))=1,"ON","OFF"))</f>
        <v>ON</v>
      </c>
      <c r="J98" s="87" cm="1">
        <f t="array" aca="1" ref="J98" ca="1">IF(H98="","",IFERROR((INDIRECT("'"&amp;$Q$3&amp;"'!A"&amp;(H98+1))-INDIRECT("'"&amp;$Q$3&amp;"'!A2"))*86400,""))</f>
        <v>9.2039999999979472</v>
      </c>
      <c r="K98" s="88">
        <f t="shared" ca="1" si="4"/>
        <v>261</v>
      </c>
    </row>
    <row r="99" spans="1:11" x14ac:dyDescent="0.25">
      <c r="A99" s="60">
        <v>63</v>
      </c>
      <c r="B99" s="86" t="str" cm="1">
        <f t="array" aca="1" ref="B9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63),"")</f>
        <v/>
      </c>
      <c r="C99" s="86" t="str" cm="1">
        <f t="array" aca="1" ref="C99" ca="1">IF(B99="","",IF(INDIRECT("'"&amp;$Q$3&amp;"'!"&amp;$Q$6&amp;(B99+1))=1,"ON","OFF"))</f>
        <v/>
      </c>
      <c r="D99" s="87" t="str" cm="1">
        <f t="array" aca="1" ref="D99" ca="1">IF(B99="","",IFERROR((INDIRECT("'"&amp;$Q$3&amp;"'!A"&amp;(B99+1))-INDIRECT("'"&amp;$Q$3&amp;"'!A2"))*86400,""))</f>
        <v/>
      </c>
      <c r="E99" s="88" t="str">
        <f t="shared" ca="1" si="3"/>
        <v/>
      </c>
      <c r="G99" s="60">
        <v>63</v>
      </c>
      <c r="H99" s="86" cm="1">
        <f t="array" aca="1" ref="H9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63),"")</f>
        <v>940</v>
      </c>
      <c r="I99" s="86" t="str" cm="1">
        <f t="array" aca="1" ref="I99" ca="1">IF(H99="","",IF(INDIRECT("'"&amp;$Q$3&amp;"'!"&amp;$Q$7&amp;(H99+1))=1,"ON","OFF"))</f>
        <v>OFF</v>
      </c>
      <c r="J99" s="87" cm="1">
        <f t="array" aca="1" ref="J99" ca="1">IF(H99="","",IFERROR((INDIRECT("'"&amp;$Q$3&amp;"'!A"&amp;(H99+1))-INDIRECT("'"&amp;$Q$3&amp;"'!A2"))*86400,""))</f>
        <v>9.4650000000008561</v>
      </c>
      <c r="K99" s="88">
        <f t="shared" ca="1" si="4"/>
        <v>39</v>
      </c>
    </row>
    <row r="100" spans="1:11" x14ac:dyDescent="0.25">
      <c r="A100" s="60">
        <v>64</v>
      </c>
      <c r="B100" s="86" t="str" cm="1">
        <f t="array" aca="1" ref="B10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64),"")</f>
        <v/>
      </c>
      <c r="C100" s="86" t="str" cm="1">
        <f t="array" aca="1" ref="C100" ca="1">IF(B100="","",IF(INDIRECT("'"&amp;$Q$3&amp;"'!"&amp;$Q$6&amp;(B100+1))=1,"ON","OFF"))</f>
        <v/>
      </c>
      <c r="D100" s="87" t="str" cm="1">
        <f t="array" aca="1" ref="D100" ca="1">IF(B100="","",IFERROR((INDIRECT("'"&amp;$Q$3&amp;"'!A"&amp;(B100+1))-INDIRECT("'"&amp;$Q$3&amp;"'!A2"))*86400,""))</f>
        <v/>
      </c>
      <c r="E100" s="88" t="str">
        <f t="shared" ca="1" si="3"/>
        <v/>
      </c>
      <c r="G100" s="60">
        <v>64</v>
      </c>
      <c r="H100" s="86" cm="1">
        <f t="array" aca="1" ref="H10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64),"")</f>
        <v>944</v>
      </c>
      <c r="I100" s="86" t="str" cm="1">
        <f t="array" aca="1" ref="I100" ca="1">IF(H100="","",IF(INDIRECT("'"&amp;$Q$3&amp;"'!"&amp;$Q$7&amp;(H100+1))=1,"ON","OFF"))</f>
        <v>ON</v>
      </c>
      <c r="J100" s="87" cm="1">
        <f t="array" aca="1" ref="J100" ca="1">IF(H100="","",IFERROR((INDIRECT("'"&amp;$Q$3&amp;"'!A"&amp;(H100+1))-INDIRECT("'"&amp;$Q$3&amp;"'!A2"))*86400,""))</f>
        <v>9.5039999999951164</v>
      </c>
      <c r="K100" s="88">
        <f t="shared" ca="1" si="4"/>
        <v>260</v>
      </c>
    </row>
    <row r="101" spans="1:11" x14ac:dyDescent="0.25">
      <c r="A101" s="60">
        <v>65</v>
      </c>
      <c r="B101" s="86" t="str" cm="1">
        <f t="array" aca="1" ref="B10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65),"")</f>
        <v/>
      </c>
      <c r="C101" s="86" t="str" cm="1">
        <f t="array" aca="1" ref="C101" ca="1">IF(B101="","",IF(INDIRECT("'"&amp;$Q$3&amp;"'!"&amp;$Q$6&amp;(B101+1))=1,"ON","OFF"))</f>
        <v/>
      </c>
      <c r="D101" s="87" t="str" cm="1">
        <f t="array" aca="1" ref="D101" ca="1">IF(B101="","",IFERROR((INDIRECT("'"&amp;$Q$3&amp;"'!A"&amp;(B101+1))-INDIRECT("'"&amp;$Q$3&amp;"'!A2"))*86400,""))</f>
        <v/>
      </c>
      <c r="E101" s="88" t="str">
        <f t="shared" ref="E101:E132" ca="1" si="5">IF(OR(B101="",B102=""),"",ROUND((D102-D101)*1000,0))</f>
        <v/>
      </c>
      <c r="G101" s="60">
        <v>65</v>
      </c>
      <c r="H101" s="86" cm="1">
        <f t="array" aca="1" ref="H10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65),"")</f>
        <v>970</v>
      </c>
      <c r="I101" s="86" t="str" cm="1">
        <f t="array" aca="1" ref="I101" ca="1">IF(H101="","",IF(INDIRECT("'"&amp;$Q$3&amp;"'!"&amp;$Q$7&amp;(H101+1))=1,"ON","OFF"))</f>
        <v>OFF</v>
      </c>
      <c r="J101" s="87" cm="1">
        <f t="array" aca="1" ref="J101" ca="1">IF(H101="","",IFERROR((INDIRECT("'"&amp;$Q$3&amp;"'!A"&amp;(H101+1))-INDIRECT("'"&amp;$Q$3&amp;"'!A2"))*86400,""))</f>
        <v>9.7640000000016158</v>
      </c>
      <c r="K101" s="88">
        <f t="shared" ref="K101:K132" ca="1" si="6">IF(OR(H101="",H102=""),"",ROUND((J102-J101)*1000,0))</f>
        <v>40</v>
      </c>
    </row>
    <row r="102" spans="1:11" x14ac:dyDescent="0.25">
      <c r="A102" s="60">
        <v>66</v>
      </c>
      <c r="B102" s="86" t="str" cm="1">
        <f t="array" aca="1" ref="B10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66),"")</f>
        <v/>
      </c>
      <c r="C102" s="86" t="str" cm="1">
        <f t="array" aca="1" ref="C102" ca="1">IF(B102="","",IF(INDIRECT("'"&amp;$Q$3&amp;"'!"&amp;$Q$6&amp;(B102+1))=1,"ON","OFF"))</f>
        <v/>
      </c>
      <c r="D102" s="87" t="str" cm="1">
        <f t="array" aca="1" ref="D102" ca="1">IF(B102="","",IFERROR((INDIRECT("'"&amp;$Q$3&amp;"'!A"&amp;(B102+1))-INDIRECT("'"&amp;$Q$3&amp;"'!A2"))*86400,""))</f>
        <v/>
      </c>
      <c r="E102" s="88" t="str">
        <f t="shared" ca="1" si="5"/>
        <v/>
      </c>
      <c r="G102" s="60">
        <v>66</v>
      </c>
      <c r="H102" s="86" cm="1">
        <f t="array" aca="1" ref="H10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66),"")</f>
        <v>974</v>
      </c>
      <c r="I102" s="86" t="str" cm="1">
        <f t="array" aca="1" ref="I102" ca="1">IF(H102="","",IF(INDIRECT("'"&amp;$Q$3&amp;"'!"&amp;$Q$7&amp;(H102+1))=1,"ON","OFF"))</f>
        <v>ON</v>
      </c>
      <c r="J102" s="87" cm="1">
        <f t="array" aca="1" ref="J102" ca="1">IF(H102="","",IFERROR((INDIRECT("'"&amp;$Q$3&amp;"'!A"&amp;(H102+1))-INDIRECT("'"&amp;$Q$3&amp;"'!A2"))*86400,""))</f>
        <v>9.8040000000018779</v>
      </c>
      <c r="K102" s="88" t="str">
        <f t="shared" ca="1" si="6"/>
        <v/>
      </c>
    </row>
    <row r="103" spans="1:11" x14ac:dyDescent="0.25">
      <c r="A103" s="60">
        <v>67</v>
      </c>
      <c r="B103" s="86" t="str" cm="1">
        <f t="array" aca="1" ref="B10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67),"")</f>
        <v/>
      </c>
      <c r="C103" s="86" t="str" cm="1">
        <f t="array" aca="1" ref="C103" ca="1">IF(B103="","",IF(INDIRECT("'"&amp;$Q$3&amp;"'!"&amp;$Q$6&amp;(B103+1))=1,"ON","OFF"))</f>
        <v/>
      </c>
      <c r="D103" s="87" t="str" cm="1">
        <f t="array" aca="1" ref="D103" ca="1">IF(B103="","",IFERROR((INDIRECT("'"&amp;$Q$3&amp;"'!A"&amp;(B103+1))-INDIRECT("'"&amp;$Q$3&amp;"'!A2"))*86400,""))</f>
        <v/>
      </c>
      <c r="E103" s="88" t="str">
        <f t="shared" ca="1" si="5"/>
        <v/>
      </c>
      <c r="G103" s="60">
        <v>67</v>
      </c>
      <c r="H103" s="86" t="str" cm="1">
        <f t="array" aca="1" ref="H10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67),"")</f>
        <v/>
      </c>
      <c r="I103" s="86" t="str" cm="1">
        <f t="array" aca="1" ref="I103" ca="1">IF(H103="","",IF(INDIRECT("'"&amp;$Q$3&amp;"'!"&amp;$Q$7&amp;(H103+1))=1,"ON","OFF"))</f>
        <v/>
      </c>
      <c r="J103" s="87" t="str" cm="1">
        <f t="array" aca="1" ref="J103" ca="1">IF(H103="","",IFERROR((INDIRECT("'"&amp;$Q$3&amp;"'!A"&amp;(H103+1))-INDIRECT("'"&amp;$Q$3&amp;"'!A2"))*86400,""))</f>
        <v/>
      </c>
      <c r="K103" s="88" t="str">
        <f t="shared" ca="1" si="6"/>
        <v/>
      </c>
    </row>
    <row r="104" spans="1:11" x14ac:dyDescent="0.25">
      <c r="A104" s="60">
        <v>68</v>
      </c>
      <c r="B104" s="86" t="str" cm="1">
        <f t="array" aca="1" ref="B10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68),"")</f>
        <v/>
      </c>
      <c r="C104" s="86" t="str" cm="1">
        <f t="array" aca="1" ref="C104" ca="1">IF(B104="","",IF(INDIRECT("'"&amp;$Q$3&amp;"'!"&amp;$Q$6&amp;(B104+1))=1,"ON","OFF"))</f>
        <v/>
      </c>
      <c r="D104" s="87" t="str" cm="1">
        <f t="array" aca="1" ref="D104" ca="1">IF(B104="","",IFERROR((INDIRECT("'"&amp;$Q$3&amp;"'!A"&amp;(B104+1))-INDIRECT("'"&amp;$Q$3&amp;"'!A2"))*86400,""))</f>
        <v/>
      </c>
      <c r="E104" s="88" t="str">
        <f t="shared" ca="1" si="5"/>
        <v/>
      </c>
      <c r="G104" s="60">
        <v>68</v>
      </c>
      <c r="H104" s="86" t="str" cm="1">
        <f t="array" aca="1" ref="H10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68),"")</f>
        <v/>
      </c>
      <c r="I104" s="86" t="str" cm="1">
        <f t="array" aca="1" ref="I104" ca="1">IF(H104="","",IF(INDIRECT("'"&amp;$Q$3&amp;"'!"&amp;$Q$7&amp;(H104+1))=1,"ON","OFF"))</f>
        <v/>
      </c>
      <c r="J104" s="87" t="str" cm="1">
        <f t="array" aca="1" ref="J104" ca="1">IF(H104="","",IFERROR((INDIRECT("'"&amp;$Q$3&amp;"'!A"&amp;(H104+1))-INDIRECT("'"&amp;$Q$3&amp;"'!A2"))*86400,""))</f>
        <v/>
      </c>
      <c r="K104" s="88" t="str">
        <f t="shared" ca="1" si="6"/>
        <v/>
      </c>
    </row>
    <row r="105" spans="1:11" x14ac:dyDescent="0.25">
      <c r="A105" s="60">
        <v>69</v>
      </c>
      <c r="B105" s="86" t="str" cm="1">
        <f t="array" aca="1" ref="B10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69),"")</f>
        <v/>
      </c>
      <c r="C105" s="86" t="str" cm="1">
        <f t="array" aca="1" ref="C105" ca="1">IF(B105="","",IF(INDIRECT("'"&amp;$Q$3&amp;"'!"&amp;$Q$6&amp;(B105+1))=1,"ON","OFF"))</f>
        <v/>
      </c>
      <c r="D105" s="87" t="str" cm="1">
        <f t="array" aca="1" ref="D105" ca="1">IF(B105="","",IFERROR((INDIRECT("'"&amp;$Q$3&amp;"'!A"&amp;(B105+1))-INDIRECT("'"&amp;$Q$3&amp;"'!A2"))*86400,""))</f>
        <v/>
      </c>
      <c r="E105" s="88" t="str">
        <f t="shared" ca="1" si="5"/>
        <v/>
      </c>
      <c r="G105" s="60">
        <v>69</v>
      </c>
      <c r="H105" s="86" t="str" cm="1">
        <f t="array" aca="1" ref="H10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69),"")</f>
        <v/>
      </c>
      <c r="I105" s="86" t="str" cm="1">
        <f t="array" aca="1" ref="I105" ca="1">IF(H105="","",IF(INDIRECT("'"&amp;$Q$3&amp;"'!"&amp;$Q$7&amp;(H105+1))=1,"ON","OFF"))</f>
        <v/>
      </c>
      <c r="J105" s="87" t="str" cm="1">
        <f t="array" aca="1" ref="J105" ca="1">IF(H105="","",IFERROR((INDIRECT("'"&amp;$Q$3&amp;"'!A"&amp;(H105+1))-INDIRECT("'"&amp;$Q$3&amp;"'!A2"))*86400,""))</f>
        <v/>
      </c>
      <c r="K105" s="88" t="str">
        <f t="shared" ca="1" si="6"/>
        <v/>
      </c>
    </row>
    <row r="106" spans="1:11" x14ac:dyDescent="0.25">
      <c r="A106" s="60">
        <v>70</v>
      </c>
      <c r="B106" s="86" t="str" cm="1">
        <f t="array" aca="1" ref="B10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70),"")</f>
        <v/>
      </c>
      <c r="C106" s="86" t="str" cm="1">
        <f t="array" aca="1" ref="C106" ca="1">IF(B106="","",IF(INDIRECT("'"&amp;$Q$3&amp;"'!"&amp;$Q$6&amp;(B106+1))=1,"ON","OFF"))</f>
        <v/>
      </c>
      <c r="D106" s="87" t="str" cm="1">
        <f t="array" aca="1" ref="D106" ca="1">IF(B106="","",IFERROR((INDIRECT("'"&amp;$Q$3&amp;"'!A"&amp;(B106+1))-INDIRECT("'"&amp;$Q$3&amp;"'!A2"))*86400,""))</f>
        <v/>
      </c>
      <c r="E106" s="88" t="str">
        <f t="shared" ca="1" si="5"/>
        <v/>
      </c>
      <c r="G106" s="60">
        <v>70</v>
      </c>
      <c r="H106" s="86" t="str" cm="1">
        <f t="array" aca="1" ref="H10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70),"")</f>
        <v/>
      </c>
      <c r="I106" s="86" t="str" cm="1">
        <f t="array" aca="1" ref="I106" ca="1">IF(H106="","",IF(INDIRECT("'"&amp;$Q$3&amp;"'!"&amp;$Q$7&amp;(H106+1))=1,"ON","OFF"))</f>
        <v/>
      </c>
      <c r="J106" s="87" t="str" cm="1">
        <f t="array" aca="1" ref="J106" ca="1">IF(H106="","",IFERROR((INDIRECT("'"&amp;$Q$3&amp;"'!A"&amp;(H106+1))-INDIRECT("'"&amp;$Q$3&amp;"'!A2"))*86400,""))</f>
        <v/>
      </c>
      <c r="K106" s="88" t="str">
        <f t="shared" ca="1" si="6"/>
        <v/>
      </c>
    </row>
    <row r="107" spans="1:11" x14ac:dyDescent="0.25">
      <c r="A107" s="60">
        <v>71</v>
      </c>
      <c r="B107" s="86" t="str" cm="1">
        <f t="array" aca="1" ref="B10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71),"")</f>
        <v/>
      </c>
      <c r="C107" s="86" t="str" cm="1">
        <f t="array" aca="1" ref="C107" ca="1">IF(B107="","",IF(INDIRECT("'"&amp;$Q$3&amp;"'!"&amp;$Q$6&amp;(B107+1))=1,"ON","OFF"))</f>
        <v/>
      </c>
      <c r="D107" s="87" t="str" cm="1">
        <f t="array" aca="1" ref="D107" ca="1">IF(B107="","",IFERROR((INDIRECT("'"&amp;$Q$3&amp;"'!A"&amp;(B107+1))-INDIRECT("'"&amp;$Q$3&amp;"'!A2"))*86400,""))</f>
        <v/>
      </c>
      <c r="E107" s="88" t="str">
        <f t="shared" ca="1" si="5"/>
        <v/>
      </c>
      <c r="G107" s="60">
        <v>71</v>
      </c>
      <c r="H107" s="86" t="str" cm="1">
        <f t="array" aca="1" ref="H10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71),"")</f>
        <v/>
      </c>
      <c r="I107" s="86" t="str" cm="1">
        <f t="array" aca="1" ref="I107" ca="1">IF(H107="","",IF(INDIRECT("'"&amp;$Q$3&amp;"'!"&amp;$Q$7&amp;(H107+1))=1,"ON","OFF"))</f>
        <v/>
      </c>
      <c r="J107" s="87" t="str" cm="1">
        <f t="array" aca="1" ref="J107" ca="1">IF(H107="","",IFERROR((INDIRECT("'"&amp;$Q$3&amp;"'!A"&amp;(H107+1))-INDIRECT("'"&amp;$Q$3&amp;"'!A2"))*86400,""))</f>
        <v/>
      </c>
      <c r="K107" s="88" t="str">
        <f t="shared" ca="1" si="6"/>
        <v/>
      </c>
    </row>
    <row r="108" spans="1:11" x14ac:dyDescent="0.25">
      <c r="A108" s="60">
        <v>72</v>
      </c>
      <c r="B108" s="86" t="str" cm="1">
        <f t="array" aca="1" ref="B10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72),"")</f>
        <v/>
      </c>
      <c r="C108" s="86" t="str" cm="1">
        <f t="array" aca="1" ref="C108" ca="1">IF(B108="","",IF(INDIRECT("'"&amp;$Q$3&amp;"'!"&amp;$Q$6&amp;(B108+1))=1,"ON","OFF"))</f>
        <v/>
      </c>
      <c r="D108" s="87" t="str" cm="1">
        <f t="array" aca="1" ref="D108" ca="1">IF(B108="","",IFERROR((INDIRECT("'"&amp;$Q$3&amp;"'!A"&amp;(B108+1))-INDIRECT("'"&amp;$Q$3&amp;"'!A2"))*86400,""))</f>
        <v/>
      </c>
      <c r="E108" s="88" t="str">
        <f t="shared" ca="1" si="5"/>
        <v/>
      </c>
      <c r="G108" s="60">
        <v>72</v>
      </c>
      <c r="H108" s="86" t="str" cm="1">
        <f t="array" aca="1" ref="H10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72),"")</f>
        <v/>
      </c>
      <c r="I108" s="86" t="str" cm="1">
        <f t="array" aca="1" ref="I108" ca="1">IF(H108="","",IF(INDIRECT("'"&amp;$Q$3&amp;"'!"&amp;$Q$7&amp;(H108+1))=1,"ON","OFF"))</f>
        <v/>
      </c>
      <c r="J108" s="87" t="str" cm="1">
        <f t="array" aca="1" ref="J108" ca="1">IF(H108="","",IFERROR((INDIRECT("'"&amp;$Q$3&amp;"'!A"&amp;(H108+1))-INDIRECT("'"&amp;$Q$3&amp;"'!A2"))*86400,""))</f>
        <v/>
      </c>
      <c r="K108" s="88" t="str">
        <f t="shared" ca="1" si="6"/>
        <v/>
      </c>
    </row>
    <row r="109" spans="1:11" x14ac:dyDescent="0.25">
      <c r="A109" s="60">
        <v>73</v>
      </c>
      <c r="B109" s="86" t="str" cm="1">
        <f t="array" aca="1" ref="B10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73),"")</f>
        <v/>
      </c>
      <c r="C109" s="86" t="str" cm="1">
        <f t="array" aca="1" ref="C109" ca="1">IF(B109="","",IF(INDIRECT("'"&amp;$Q$3&amp;"'!"&amp;$Q$6&amp;(B109+1))=1,"ON","OFF"))</f>
        <v/>
      </c>
      <c r="D109" s="87" t="str" cm="1">
        <f t="array" aca="1" ref="D109" ca="1">IF(B109="","",IFERROR((INDIRECT("'"&amp;$Q$3&amp;"'!A"&amp;(B109+1))-INDIRECT("'"&amp;$Q$3&amp;"'!A2"))*86400,""))</f>
        <v/>
      </c>
      <c r="E109" s="88" t="str">
        <f t="shared" ca="1" si="5"/>
        <v/>
      </c>
      <c r="G109" s="60">
        <v>73</v>
      </c>
      <c r="H109" s="86" t="str" cm="1">
        <f t="array" aca="1" ref="H10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73),"")</f>
        <v/>
      </c>
      <c r="I109" s="86" t="str" cm="1">
        <f t="array" aca="1" ref="I109" ca="1">IF(H109="","",IF(INDIRECT("'"&amp;$Q$3&amp;"'!"&amp;$Q$7&amp;(H109+1))=1,"ON","OFF"))</f>
        <v/>
      </c>
      <c r="J109" s="87" t="str" cm="1">
        <f t="array" aca="1" ref="J109" ca="1">IF(H109="","",IFERROR((INDIRECT("'"&amp;$Q$3&amp;"'!A"&amp;(H109+1))-INDIRECT("'"&amp;$Q$3&amp;"'!A2"))*86400,""))</f>
        <v/>
      </c>
      <c r="K109" s="88" t="str">
        <f t="shared" ca="1" si="6"/>
        <v/>
      </c>
    </row>
    <row r="110" spans="1:11" x14ac:dyDescent="0.25">
      <c r="A110" s="60">
        <v>74</v>
      </c>
      <c r="B110" s="86" t="str" cm="1">
        <f t="array" aca="1" ref="B11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74),"")</f>
        <v/>
      </c>
      <c r="C110" s="86" t="str" cm="1">
        <f t="array" aca="1" ref="C110" ca="1">IF(B110="","",IF(INDIRECT("'"&amp;$Q$3&amp;"'!"&amp;$Q$6&amp;(B110+1))=1,"ON","OFF"))</f>
        <v/>
      </c>
      <c r="D110" s="87" t="str" cm="1">
        <f t="array" aca="1" ref="D110" ca="1">IF(B110="","",IFERROR((INDIRECT("'"&amp;$Q$3&amp;"'!A"&amp;(B110+1))-INDIRECT("'"&amp;$Q$3&amp;"'!A2"))*86400,""))</f>
        <v/>
      </c>
      <c r="E110" s="88" t="str">
        <f t="shared" ca="1" si="5"/>
        <v/>
      </c>
      <c r="G110" s="60">
        <v>74</v>
      </c>
      <c r="H110" s="86" t="str" cm="1">
        <f t="array" aca="1" ref="H11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74),"")</f>
        <v/>
      </c>
      <c r="I110" s="86" t="str" cm="1">
        <f t="array" aca="1" ref="I110" ca="1">IF(H110="","",IF(INDIRECT("'"&amp;$Q$3&amp;"'!"&amp;$Q$7&amp;(H110+1))=1,"ON","OFF"))</f>
        <v/>
      </c>
      <c r="J110" s="87" t="str" cm="1">
        <f t="array" aca="1" ref="J110" ca="1">IF(H110="","",IFERROR((INDIRECT("'"&amp;$Q$3&amp;"'!A"&amp;(H110+1))-INDIRECT("'"&amp;$Q$3&amp;"'!A2"))*86400,""))</f>
        <v/>
      </c>
      <c r="K110" s="88" t="str">
        <f t="shared" ca="1" si="6"/>
        <v/>
      </c>
    </row>
    <row r="111" spans="1:11" x14ac:dyDescent="0.25">
      <c r="A111" s="60">
        <v>75</v>
      </c>
      <c r="B111" s="86" t="str" cm="1">
        <f t="array" aca="1" ref="B11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75),"")</f>
        <v/>
      </c>
      <c r="C111" s="86" t="str" cm="1">
        <f t="array" aca="1" ref="C111" ca="1">IF(B111="","",IF(INDIRECT("'"&amp;$Q$3&amp;"'!"&amp;$Q$6&amp;(B111+1))=1,"ON","OFF"))</f>
        <v/>
      </c>
      <c r="D111" s="87" t="str" cm="1">
        <f t="array" aca="1" ref="D111" ca="1">IF(B111="","",IFERROR((INDIRECT("'"&amp;$Q$3&amp;"'!A"&amp;(B111+1))-INDIRECT("'"&amp;$Q$3&amp;"'!A2"))*86400,""))</f>
        <v/>
      </c>
      <c r="E111" s="88" t="str">
        <f t="shared" ca="1" si="5"/>
        <v/>
      </c>
      <c r="G111" s="60">
        <v>75</v>
      </c>
      <c r="H111" s="86" t="str" cm="1">
        <f t="array" aca="1" ref="H11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75),"")</f>
        <v/>
      </c>
      <c r="I111" s="86" t="str" cm="1">
        <f t="array" aca="1" ref="I111" ca="1">IF(H111="","",IF(INDIRECT("'"&amp;$Q$3&amp;"'!"&amp;$Q$7&amp;(H111+1))=1,"ON","OFF"))</f>
        <v/>
      </c>
      <c r="J111" s="87" t="str" cm="1">
        <f t="array" aca="1" ref="J111" ca="1">IF(H111="","",IFERROR((INDIRECT("'"&amp;$Q$3&amp;"'!A"&amp;(H111+1))-INDIRECT("'"&amp;$Q$3&amp;"'!A2"))*86400,""))</f>
        <v/>
      </c>
      <c r="K111" s="88" t="str">
        <f t="shared" ca="1" si="6"/>
        <v/>
      </c>
    </row>
    <row r="112" spans="1:11" x14ac:dyDescent="0.25">
      <c r="A112" s="60">
        <v>76</v>
      </c>
      <c r="B112" s="86" t="str" cm="1">
        <f t="array" aca="1" ref="B11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76),"")</f>
        <v/>
      </c>
      <c r="C112" s="86" t="str" cm="1">
        <f t="array" aca="1" ref="C112" ca="1">IF(B112="","",IF(INDIRECT("'"&amp;$Q$3&amp;"'!"&amp;$Q$6&amp;(B112+1))=1,"ON","OFF"))</f>
        <v/>
      </c>
      <c r="D112" s="87" t="str" cm="1">
        <f t="array" aca="1" ref="D112" ca="1">IF(B112="","",IFERROR((INDIRECT("'"&amp;$Q$3&amp;"'!A"&amp;(B112+1))-INDIRECT("'"&amp;$Q$3&amp;"'!A2"))*86400,""))</f>
        <v/>
      </c>
      <c r="E112" s="88" t="str">
        <f t="shared" ca="1" si="5"/>
        <v/>
      </c>
      <c r="G112" s="60">
        <v>76</v>
      </c>
      <c r="H112" s="86" t="str" cm="1">
        <f t="array" aca="1" ref="H11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76),"")</f>
        <v/>
      </c>
      <c r="I112" s="86" t="str" cm="1">
        <f t="array" aca="1" ref="I112" ca="1">IF(H112="","",IF(INDIRECT("'"&amp;$Q$3&amp;"'!"&amp;$Q$7&amp;(H112+1))=1,"ON","OFF"))</f>
        <v/>
      </c>
      <c r="J112" s="87" t="str" cm="1">
        <f t="array" aca="1" ref="J112" ca="1">IF(H112="","",IFERROR((INDIRECT("'"&amp;$Q$3&amp;"'!A"&amp;(H112+1))-INDIRECT("'"&amp;$Q$3&amp;"'!A2"))*86400,""))</f>
        <v/>
      </c>
      <c r="K112" s="88" t="str">
        <f t="shared" ca="1" si="6"/>
        <v/>
      </c>
    </row>
    <row r="113" spans="1:11" x14ac:dyDescent="0.25">
      <c r="A113" s="60">
        <v>77</v>
      </c>
      <c r="B113" s="86" t="str" cm="1">
        <f t="array" aca="1" ref="B11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77),"")</f>
        <v/>
      </c>
      <c r="C113" s="86" t="str" cm="1">
        <f t="array" aca="1" ref="C113" ca="1">IF(B113="","",IF(INDIRECT("'"&amp;$Q$3&amp;"'!"&amp;$Q$6&amp;(B113+1))=1,"ON","OFF"))</f>
        <v/>
      </c>
      <c r="D113" s="87" t="str" cm="1">
        <f t="array" aca="1" ref="D113" ca="1">IF(B113="","",IFERROR((INDIRECT("'"&amp;$Q$3&amp;"'!A"&amp;(B113+1))-INDIRECT("'"&amp;$Q$3&amp;"'!A2"))*86400,""))</f>
        <v/>
      </c>
      <c r="E113" s="88" t="str">
        <f t="shared" ca="1" si="5"/>
        <v/>
      </c>
      <c r="G113" s="60">
        <v>77</v>
      </c>
      <c r="H113" s="86" t="str" cm="1">
        <f t="array" aca="1" ref="H11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77),"")</f>
        <v/>
      </c>
      <c r="I113" s="86" t="str" cm="1">
        <f t="array" aca="1" ref="I113" ca="1">IF(H113="","",IF(INDIRECT("'"&amp;$Q$3&amp;"'!"&amp;$Q$7&amp;(H113+1))=1,"ON","OFF"))</f>
        <v/>
      </c>
      <c r="J113" s="87" t="str" cm="1">
        <f t="array" aca="1" ref="J113" ca="1">IF(H113="","",IFERROR((INDIRECT("'"&amp;$Q$3&amp;"'!A"&amp;(H113+1))-INDIRECT("'"&amp;$Q$3&amp;"'!A2"))*86400,""))</f>
        <v/>
      </c>
      <c r="K113" s="88" t="str">
        <f t="shared" ca="1" si="6"/>
        <v/>
      </c>
    </row>
    <row r="114" spans="1:11" x14ac:dyDescent="0.25">
      <c r="A114" s="60">
        <v>78</v>
      </c>
      <c r="B114" s="86" t="str" cm="1">
        <f t="array" aca="1" ref="B11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78),"")</f>
        <v/>
      </c>
      <c r="C114" s="86" t="str" cm="1">
        <f t="array" aca="1" ref="C114" ca="1">IF(B114="","",IF(INDIRECT("'"&amp;$Q$3&amp;"'!"&amp;$Q$6&amp;(B114+1))=1,"ON","OFF"))</f>
        <v/>
      </c>
      <c r="D114" s="87" t="str" cm="1">
        <f t="array" aca="1" ref="D114" ca="1">IF(B114="","",IFERROR((INDIRECT("'"&amp;$Q$3&amp;"'!A"&amp;(B114+1))-INDIRECT("'"&amp;$Q$3&amp;"'!A2"))*86400,""))</f>
        <v/>
      </c>
      <c r="E114" s="88" t="str">
        <f t="shared" ca="1" si="5"/>
        <v/>
      </c>
      <c r="G114" s="60">
        <v>78</v>
      </c>
      <c r="H114" s="86" t="str" cm="1">
        <f t="array" aca="1" ref="H11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78),"")</f>
        <v/>
      </c>
      <c r="I114" s="86" t="str" cm="1">
        <f t="array" aca="1" ref="I114" ca="1">IF(H114="","",IF(INDIRECT("'"&amp;$Q$3&amp;"'!"&amp;$Q$7&amp;(H114+1))=1,"ON","OFF"))</f>
        <v/>
      </c>
      <c r="J114" s="87" t="str" cm="1">
        <f t="array" aca="1" ref="J114" ca="1">IF(H114="","",IFERROR((INDIRECT("'"&amp;$Q$3&amp;"'!A"&amp;(H114+1))-INDIRECT("'"&amp;$Q$3&amp;"'!A2"))*86400,""))</f>
        <v/>
      </c>
      <c r="K114" s="88" t="str">
        <f t="shared" ca="1" si="6"/>
        <v/>
      </c>
    </row>
    <row r="115" spans="1:11" x14ac:dyDescent="0.25">
      <c r="A115" s="60">
        <v>79</v>
      </c>
      <c r="B115" s="86" t="str" cm="1">
        <f t="array" aca="1" ref="B11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79),"")</f>
        <v/>
      </c>
      <c r="C115" s="86" t="str" cm="1">
        <f t="array" aca="1" ref="C115" ca="1">IF(B115="","",IF(INDIRECT("'"&amp;$Q$3&amp;"'!"&amp;$Q$6&amp;(B115+1))=1,"ON","OFF"))</f>
        <v/>
      </c>
      <c r="D115" s="87" t="str" cm="1">
        <f t="array" aca="1" ref="D115" ca="1">IF(B115="","",IFERROR((INDIRECT("'"&amp;$Q$3&amp;"'!A"&amp;(B115+1))-INDIRECT("'"&amp;$Q$3&amp;"'!A2"))*86400,""))</f>
        <v/>
      </c>
      <c r="E115" s="88" t="str">
        <f t="shared" ca="1" si="5"/>
        <v/>
      </c>
      <c r="G115" s="60">
        <v>79</v>
      </c>
      <c r="H115" s="86" t="str" cm="1">
        <f t="array" aca="1" ref="H11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79),"")</f>
        <v/>
      </c>
      <c r="I115" s="86" t="str" cm="1">
        <f t="array" aca="1" ref="I115" ca="1">IF(H115="","",IF(INDIRECT("'"&amp;$Q$3&amp;"'!"&amp;$Q$7&amp;(H115+1))=1,"ON","OFF"))</f>
        <v/>
      </c>
      <c r="J115" s="87" t="str" cm="1">
        <f t="array" aca="1" ref="J115" ca="1">IF(H115="","",IFERROR((INDIRECT("'"&amp;$Q$3&amp;"'!A"&amp;(H115+1))-INDIRECT("'"&amp;$Q$3&amp;"'!A2"))*86400,""))</f>
        <v/>
      </c>
      <c r="K115" s="88" t="str">
        <f t="shared" ca="1" si="6"/>
        <v/>
      </c>
    </row>
    <row r="116" spans="1:11" x14ac:dyDescent="0.25">
      <c r="A116" s="60">
        <v>80</v>
      </c>
      <c r="B116" s="86" t="str" cm="1">
        <f t="array" aca="1" ref="B11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80),"")</f>
        <v/>
      </c>
      <c r="C116" s="86" t="str" cm="1">
        <f t="array" aca="1" ref="C116" ca="1">IF(B116="","",IF(INDIRECT("'"&amp;$Q$3&amp;"'!"&amp;$Q$6&amp;(B116+1))=1,"ON","OFF"))</f>
        <v/>
      </c>
      <c r="D116" s="87" t="str" cm="1">
        <f t="array" aca="1" ref="D116" ca="1">IF(B116="","",IFERROR((INDIRECT("'"&amp;$Q$3&amp;"'!A"&amp;(B116+1))-INDIRECT("'"&amp;$Q$3&amp;"'!A2"))*86400,""))</f>
        <v/>
      </c>
      <c r="E116" s="88" t="str">
        <f t="shared" ca="1" si="5"/>
        <v/>
      </c>
      <c r="G116" s="60">
        <v>80</v>
      </c>
      <c r="H116" s="86" t="str" cm="1">
        <f t="array" aca="1" ref="H11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80),"")</f>
        <v/>
      </c>
      <c r="I116" s="86" t="str" cm="1">
        <f t="array" aca="1" ref="I116" ca="1">IF(H116="","",IF(INDIRECT("'"&amp;$Q$3&amp;"'!"&amp;$Q$7&amp;(H116+1))=1,"ON","OFF"))</f>
        <v/>
      </c>
      <c r="J116" s="87" t="str" cm="1">
        <f t="array" aca="1" ref="J116" ca="1">IF(H116="","",IFERROR((INDIRECT("'"&amp;$Q$3&amp;"'!A"&amp;(H116+1))-INDIRECT("'"&amp;$Q$3&amp;"'!A2"))*86400,""))</f>
        <v/>
      </c>
      <c r="K116" s="88" t="str">
        <f t="shared" ca="1" si="6"/>
        <v/>
      </c>
    </row>
    <row r="117" spans="1:11" x14ac:dyDescent="0.25">
      <c r="A117" s="60">
        <v>81</v>
      </c>
      <c r="B117" s="86" t="str" cm="1">
        <f t="array" aca="1" ref="B11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81),"")</f>
        <v/>
      </c>
      <c r="C117" s="86" t="str" cm="1">
        <f t="array" aca="1" ref="C117" ca="1">IF(B117="","",IF(INDIRECT("'"&amp;$Q$3&amp;"'!"&amp;$Q$6&amp;(B117+1))=1,"ON","OFF"))</f>
        <v/>
      </c>
      <c r="D117" s="87" t="str" cm="1">
        <f t="array" aca="1" ref="D117" ca="1">IF(B117="","",IFERROR((INDIRECT("'"&amp;$Q$3&amp;"'!A"&amp;(B117+1))-INDIRECT("'"&amp;$Q$3&amp;"'!A2"))*86400,""))</f>
        <v/>
      </c>
      <c r="E117" s="88" t="str">
        <f t="shared" ca="1" si="5"/>
        <v/>
      </c>
      <c r="G117" s="60">
        <v>81</v>
      </c>
      <c r="H117" s="86" t="str" cm="1">
        <f t="array" aca="1" ref="H11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81),"")</f>
        <v/>
      </c>
      <c r="I117" s="86" t="str" cm="1">
        <f t="array" aca="1" ref="I117" ca="1">IF(H117="","",IF(INDIRECT("'"&amp;$Q$3&amp;"'!"&amp;$Q$7&amp;(H117+1))=1,"ON","OFF"))</f>
        <v/>
      </c>
      <c r="J117" s="87" t="str" cm="1">
        <f t="array" aca="1" ref="J117" ca="1">IF(H117="","",IFERROR((INDIRECT("'"&amp;$Q$3&amp;"'!A"&amp;(H117+1))-INDIRECT("'"&amp;$Q$3&amp;"'!A2"))*86400,""))</f>
        <v/>
      </c>
      <c r="K117" s="88" t="str">
        <f t="shared" ca="1" si="6"/>
        <v/>
      </c>
    </row>
    <row r="118" spans="1:11" x14ac:dyDescent="0.25">
      <c r="A118" s="60">
        <v>82</v>
      </c>
      <c r="B118" s="86" t="str" cm="1">
        <f t="array" aca="1" ref="B11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82),"")</f>
        <v/>
      </c>
      <c r="C118" s="86" t="str" cm="1">
        <f t="array" aca="1" ref="C118" ca="1">IF(B118="","",IF(INDIRECT("'"&amp;$Q$3&amp;"'!"&amp;$Q$6&amp;(B118+1))=1,"ON","OFF"))</f>
        <v/>
      </c>
      <c r="D118" s="87" t="str" cm="1">
        <f t="array" aca="1" ref="D118" ca="1">IF(B118="","",IFERROR((INDIRECT("'"&amp;$Q$3&amp;"'!A"&amp;(B118+1))-INDIRECT("'"&amp;$Q$3&amp;"'!A2"))*86400,""))</f>
        <v/>
      </c>
      <c r="E118" s="88" t="str">
        <f t="shared" ca="1" si="5"/>
        <v/>
      </c>
      <c r="G118" s="60">
        <v>82</v>
      </c>
      <c r="H118" s="86" t="str" cm="1">
        <f t="array" aca="1" ref="H11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82),"")</f>
        <v/>
      </c>
      <c r="I118" s="86" t="str" cm="1">
        <f t="array" aca="1" ref="I118" ca="1">IF(H118="","",IF(INDIRECT("'"&amp;$Q$3&amp;"'!"&amp;$Q$7&amp;(H118+1))=1,"ON","OFF"))</f>
        <v/>
      </c>
      <c r="J118" s="87" t="str" cm="1">
        <f t="array" aca="1" ref="J118" ca="1">IF(H118="","",IFERROR((INDIRECT("'"&amp;$Q$3&amp;"'!A"&amp;(H118+1))-INDIRECT("'"&amp;$Q$3&amp;"'!A2"))*86400,""))</f>
        <v/>
      </c>
      <c r="K118" s="88" t="str">
        <f t="shared" ca="1" si="6"/>
        <v/>
      </c>
    </row>
    <row r="119" spans="1:11" x14ac:dyDescent="0.25">
      <c r="A119" s="60">
        <v>83</v>
      </c>
      <c r="B119" s="86" t="str" cm="1">
        <f t="array" aca="1" ref="B11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83),"")</f>
        <v/>
      </c>
      <c r="C119" s="86" t="str" cm="1">
        <f t="array" aca="1" ref="C119" ca="1">IF(B119="","",IF(INDIRECT("'"&amp;$Q$3&amp;"'!"&amp;$Q$6&amp;(B119+1))=1,"ON","OFF"))</f>
        <v/>
      </c>
      <c r="D119" s="87" t="str" cm="1">
        <f t="array" aca="1" ref="D119" ca="1">IF(B119="","",IFERROR((INDIRECT("'"&amp;$Q$3&amp;"'!A"&amp;(B119+1))-INDIRECT("'"&amp;$Q$3&amp;"'!A2"))*86400,""))</f>
        <v/>
      </c>
      <c r="E119" s="88" t="str">
        <f t="shared" ca="1" si="5"/>
        <v/>
      </c>
      <c r="G119" s="60">
        <v>83</v>
      </c>
      <c r="H119" s="86" t="str" cm="1">
        <f t="array" aca="1" ref="H11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83),"")</f>
        <v/>
      </c>
      <c r="I119" s="86" t="str" cm="1">
        <f t="array" aca="1" ref="I119" ca="1">IF(H119="","",IF(INDIRECT("'"&amp;$Q$3&amp;"'!"&amp;$Q$7&amp;(H119+1))=1,"ON","OFF"))</f>
        <v/>
      </c>
      <c r="J119" s="87" t="str" cm="1">
        <f t="array" aca="1" ref="J119" ca="1">IF(H119="","",IFERROR((INDIRECT("'"&amp;$Q$3&amp;"'!A"&amp;(H119+1))-INDIRECT("'"&amp;$Q$3&amp;"'!A2"))*86400,""))</f>
        <v/>
      </c>
      <c r="K119" s="88" t="str">
        <f t="shared" ca="1" si="6"/>
        <v/>
      </c>
    </row>
    <row r="120" spans="1:11" x14ac:dyDescent="0.25">
      <c r="A120" s="60">
        <v>84</v>
      </c>
      <c r="B120" s="86" t="str" cm="1">
        <f t="array" aca="1" ref="B12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84),"")</f>
        <v/>
      </c>
      <c r="C120" s="86" t="str" cm="1">
        <f t="array" aca="1" ref="C120" ca="1">IF(B120="","",IF(INDIRECT("'"&amp;$Q$3&amp;"'!"&amp;$Q$6&amp;(B120+1))=1,"ON","OFF"))</f>
        <v/>
      </c>
      <c r="D120" s="87" t="str" cm="1">
        <f t="array" aca="1" ref="D120" ca="1">IF(B120="","",IFERROR((INDIRECT("'"&amp;$Q$3&amp;"'!A"&amp;(B120+1))-INDIRECT("'"&amp;$Q$3&amp;"'!A2"))*86400,""))</f>
        <v/>
      </c>
      <c r="E120" s="88" t="str">
        <f t="shared" ca="1" si="5"/>
        <v/>
      </c>
      <c r="G120" s="60">
        <v>84</v>
      </c>
      <c r="H120" s="86" t="str" cm="1">
        <f t="array" aca="1" ref="H12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84),"")</f>
        <v/>
      </c>
      <c r="I120" s="86" t="str" cm="1">
        <f t="array" aca="1" ref="I120" ca="1">IF(H120="","",IF(INDIRECT("'"&amp;$Q$3&amp;"'!"&amp;$Q$7&amp;(H120+1))=1,"ON","OFF"))</f>
        <v/>
      </c>
      <c r="J120" s="87" t="str" cm="1">
        <f t="array" aca="1" ref="J120" ca="1">IF(H120="","",IFERROR((INDIRECT("'"&amp;$Q$3&amp;"'!A"&amp;(H120+1))-INDIRECT("'"&amp;$Q$3&amp;"'!A2"))*86400,""))</f>
        <v/>
      </c>
      <c r="K120" s="88" t="str">
        <f t="shared" ca="1" si="6"/>
        <v/>
      </c>
    </row>
    <row r="121" spans="1:11" x14ac:dyDescent="0.25">
      <c r="A121" s="60">
        <v>85</v>
      </c>
      <c r="B121" s="86" t="str" cm="1">
        <f t="array" aca="1" ref="B12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85),"")</f>
        <v/>
      </c>
      <c r="C121" s="86" t="str" cm="1">
        <f t="array" aca="1" ref="C121" ca="1">IF(B121="","",IF(INDIRECT("'"&amp;$Q$3&amp;"'!"&amp;$Q$6&amp;(B121+1))=1,"ON","OFF"))</f>
        <v/>
      </c>
      <c r="D121" s="87" t="str" cm="1">
        <f t="array" aca="1" ref="D121" ca="1">IF(B121="","",IFERROR((INDIRECT("'"&amp;$Q$3&amp;"'!A"&amp;(B121+1))-INDIRECT("'"&amp;$Q$3&amp;"'!A2"))*86400,""))</f>
        <v/>
      </c>
      <c r="E121" s="88" t="str">
        <f t="shared" ca="1" si="5"/>
        <v/>
      </c>
      <c r="G121" s="60">
        <v>85</v>
      </c>
      <c r="H121" s="86" t="str" cm="1">
        <f t="array" aca="1" ref="H12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85),"")</f>
        <v/>
      </c>
      <c r="I121" s="86" t="str" cm="1">
        <f t="array" aca="1" ref="I121" ca="1">IF(H121="","",IF(INDIRECT("'"&amp;$Q$3&amp;"'!"&amp;$Q$7&amp;(H121+1))=1,"ON","OFF"))</f>
        <v/>
      </c>
      <c r="J121" s="87" t="str" cm="1">
        <f t="array" aca="1" ref="J121" ca="1">IF(H121="","",IFERROR((INDIRECT("'"&amp;$Q$3&amp;"'!A"&amp;(H121+1))-INDIRECT("'"&amp;$Q$3&amp;"'!A2"))*86400,""))</f>
        <v/>
      </c>
      <c r="K121" s="88" t="str">
        <f t="shared" ca="1" si="6"/>
        <v/>
      </c>
    </row>
    <row r="122" spans="1:11" x14ac:dyDescent="0.25">
      <c r="A122" s="60">
        <v>86</v>
      </c>
      <c r="B122" s="86" t="str" cm="1">
        <f t="array" aca="1" ref="B12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86),"")</f>
        <v/>
      </c>
      <c r="C122" s="86" t="str" cm="1">
        <f t="array" aca="1" ref="C122" ca="1">IF(B122="","",IF(INDIRECT("'"&amp;$Q$3&amp;"'!"&amp;$Q$6&amp;(B122+1))=1,"ON","OFF"))</f>
        <v/>
      </c>
      <c r="D122" s="87" t="str" cm="1">
        <f t="array" aca="1" ref="D122" ca="1">IF(B122="","",IFERROR((INDIRECT("'"&amp;$Q$3&amp;"'!A"&amp;(B122+1))-INDIRECT("'"&amp;$Q$3&amp;"'!A2"))*86400,""))</f>
        <v/>
      </c>
      <c r="E122" s="88" t="str">
        <f t="shared" ca="1" si="5"/>
        <v/>
      </c>
      <c r="G122" s="60">
        <v>86</v>
      </c>
      <c r="H122" s="86" t="str" cm="1">
        <f t="array" aca="1" ref="H12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86),"")</f>
        <v/>
      </c>
      <c r="I122" s="86" t="str" cm="1">
        <f t="array" aca="1" ref="I122" ca="1">IF(H122="","",IF(INDIRECT("'"&amp;$Q$3&amp;"'!"&amp;$Q$7&amp;(H122+1))=1,"ON","OFF"))</f>
        <v/>
      </c>
      <c r="J122" s="87" t="str" cm="1">
        <f t="array" aca="1" ref="J122" ca="1">IF(H122="","",IFERROR((INDIRECT("'"&amp;$Q$3&amp;"'!A"&amp;(H122+1))-INDIRECT("'"&amp;$Q$3&amp;"'!A2"))*86400,""))</f>
        <v/>
      </c>
      <c r="K122" s="88" t="str">
        <f t="shared" ca="1" si="6"/>
        <v/>
      </c>
    </row>
    <row r="123" spans="1:11" x14ac:dyDescent="0.25">
      <c r="A123" s="60">
        <v>87</v>
      </c>
      <c r="B123" s="86" t="str" cm="1">
        <f t="array" aca="1" ref="B12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87),"")</f>
        <v/>
      </c>
      <c r="C123" s="86" t="str" cm="1">
        <f t="array" aca="1" ref="C123" ca="1">IF(B123="","",IF(INDIRECT("'"&amp;$Q$3&amp;"'!"&amp;$Q$6&amp;(B123+1))=1,"ON","OFF"))</f>
        <v/>
      </c>
      <c r="D123" s="87" t="str" cm="1">
        <f t="array" aca="1" ref="D123" ca="1">IF(B123="","",IFERROR((INDIRECT("'"&amp;$Q$3&amp;"'!A"&amp;(B123+1))-INDIRECT("'"&amp;$Q$3&amp;"'!A2"))*86400,""))</f>
        <v/>
      </c>
      <c r="E123" s="88" t="str">
        <f t="shared" ca="1" si="5"/>
        <v/>
      </c>
      <c r="G123" s="60">
        <v>87</v>
      </c>
      <c r="H123" s="86" t="str" cm="1">
        <f t="array" aca="1" ref="H12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87),"")</f>
        <v/>
      </c>
      <c r="I123" s="86" t="str" cm="1">
        <f t="array" aca="1" ref="I123" ca="1">IF(H123="","",IF(INDIRECT("'"&amp;$Q$3&amp;"'!"&amp;$Q$7&amp;(H123+1))=1,"ON","OFF"))</f>
        <v/>
      </c>
      <c r="J123" s="87" t="str" cm="1">
        <f t="array" aca="1" ref="J123" ca="1">IF(H123="","",IFERROR((INDIRECT("'"&amp;$Q$3&amp;"'!A"&amp;(H123+1))-INDIRECT("'"&amp;$Q$3&amp;"'!A2"))*86400,""))</f>
        <v/>
      </c>
      <c r="K123" s="88" t="str">
        <f t="shared" ca="1" si="6"/>
        <v/>
      </c>
    </row>
    <row r="124" spans="1:11" x14ac:dyDescent="0.25">
      <c r="A124" s="60">
        <v>88</v>
      </c>
      <c r="B124" s="86" t="str" cm="1">
        <f t="array" aca="1" ref="B12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88),"")</f>
        <v/>
      </c>
      <c r="C124" s="86" t="str" cm="1">
        <f t="array" aca="1" ref="C124" ca="1">IF(B124="","",IF(INDIRECT("'"&amp;$Q$3&amp;"'!"&amp;$Q$6&amp;(B124+1))=1,"ON","OFF"))</f>
        <v/>
      </c>
      <c r="D124" s="87" t="str" cm="1">
        <f t="array" aca="1" ref="D124" ca="1">IF(B124="","",IFERROR((INDIRECT("'"&amp;$Q$3&amp;"'!A"&amp;(B124+1))-INDIRECT("'"&amp;$Q$3&amp;"'!A2"))*86400,""))</f>
        <v/>
      </c>
      <c r="E124" s="88" t="str">
        <f t="shared" ca="1" si="5"/>
        <v/>
      </c>
      <c r="G124" s="60">
        <v>88</v>
      </c>
      <c r="H124" s="86" t="str" cm="1">
        <f t="array" aca="1" ref="H12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88),"")</f>
        <v/>
      </c>
      <c r="I124" s="86" t="str" cm="1">
        <f t="array" aca="1" ref="I124" ca="1">IF(H124="","",IF(INDIRECT("'"&amp;$Q$3&amp;"'!"&amp;$Q$7&amp;(H124+1))=1,"ON","OFF"))</f>
        <v/>
      </c>
      <c r="J124" s="87" t="str" cm="1">
        <f t="array" aca="1" ref="J124" ca="1">IF(H124="","",IFERROR((INDIRECT("'"&amp;$Q$3&amp;"'!A"&amp;(H124+1))-INDIRECT("'"&amp;$Q$3&amp;"'!A2"))*86400,""))</f>
        <v/>
      </c>
      <c r="K124" s="88" t="str">
        <f t="shared" ca="1" si="6"/>
        <v/>
      </c>
    </row>
    <row r="125" spans="1:11" x14ac:dyDescent="0.25">
      <c r="A125" s="60">
        <v>89</v>
      </c>
      <c r="B125" s="86" t="str" cm="1">
        <f t="array" aca="1" ref="B12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89),"")</f>
        <v/>
      </c>
      <c r="C125" s="86" t="str" cm="1">
        <f t="array" aca="1" ref="C125" ca="1">IF(B125="","",IF(INDIRECT("'"&amp;$Q$3&amp;"'!"&amp;$Q$6&amp;(B125+1))=1,"ON","OFF"))</f>
        <v/>
      </c>
      <c r="D125" s="87" t="str" cm="1">
        <f t="array" aca="1" ref="D125" ca="1">IF(B125="","",IFERROR((INDIRECT("'"&amp;$Q$3&amp;"'!A"&amp;(B125+1))-INDIRECT("'"&amp;$Q$3&amp;"'!A2"))*86400,""))</f>
        <v/>
      </c>
      <c r="E125" s="88" t="str">
        <f t="shared" ca="1" si="5"/>
        <v/>
      </c>
      <c r="G125" s="60">
        <v>89</v>
      </c>
      <c r="H125" s="86" t="str" cm="1">
        <f t="array" aca="1" ref="H12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89),"")</f>
        <v/>
      </c>
      <c r="I125" s="86" t="str" cm="1">
        <f t="array" aca="1" ref="I125" ca="1">IF(H125="","",IF(INDIRECT("'"&amp;$Q$3&amp;"'!"&amp;$Q$7&amp;(H125+1))=1,"ON","OFF"))</f>
        <v/>
      </c>
      <c r="J125" s="87" t="str" cm="1">
        <f t="array" aca="1" ref="J125" ca="1">IF(H125="","",IFERROR((INDIRECT("'"&amp;$Q$3&amp;"'!A"&amp;(H125+1))-INDIRECT("'"&amp;$Q$3&amp;"'!A2"))*86400,""))</f>
        <v/>
      </c>
      <c r="K125" s="88" t="str">
        <f t="shared" ca="1" si="6"/>
        <v/>
      </c>
    </row>
    <row r="126" spans="1:11" x14ac:dyDescent="0.25">
      <c r="A126" s="60">
        <v>90</v>
      </c>
      <c r="B126" s="86" t="str" cm="1">
        <f t="array" aca="1" ref="B12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90),"")</f>
        <v/>
      </c>
      <c r="C126" s="86" t="str" cm="1">
        <f t="array" aca="1" ref="C126" ca="1">IF(B126="","",IF(INDIRECT("'"&amp;$Q$3&amp;"'!"&amp;$Q$6&amp;(B126+1))=1,"ON","OFF"))</f>
        <v/>
      </c>
      <c r="D126" s="87" t="str" cm="1">
        <f t="array" aca="1" ref="D126" ca="1">IF(B126="","",IFERROR((INDIRECT("'"&amp;$Q$3&amp;"'!A"&amp;(B126+1))-INDIRECT("'"&amp;$Q$3&amp;"'!A2"))*86400,""))</f>
        <v/>
      </c>
      <c r="E126" s="88" t="str">
        <f t="shared" ca="1" si="5"/>
        <v/>
      </c>
      <c r="G126" s="60">
        <v>90</v>
      </c>
      <c r="H126" s="86" t="str" cm="1">
        <f t="array" aca="1" ref="H12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90),"")</f>
        <v/>
      </c>
      <c r="I126" s="86" t="str" cm="1">
        <f t="array" aca="1" ref="I126" ca="1">IF(H126="","",IF(INDIRECT("'"&amp;$Q$3&amp;"'!"&amp;$Q$7&amp;(H126+1))=1,"ON","OFF"))</f>
        <v/>
      </c>
      <c r="J126" s="87" t="str" cm="1">
        <f t="array" aca="1" ref="J126" ca="1">IF(H126="","",IFERROR((INDIRECT("'"&amp;$Q$3&amp;"'!A"&amp;(H126+1))-INDIRECT("'"&amp;$Q$3&amp;"'!A2"))*86400,""))</f>
        <v/>
      </c>
      <c r="K126" s="88" t="str">
        <f t="shared" ca="1" si="6"/>
        <v/>
      </c>
    </row>
    <row r="127" spans="1:11" x14ac:dyDescent="0.25">
      <c r="A127" s="60">
        <v>91</v>
      </c>
      <c r="B127" s="86" t="str" cm="1">
        <f t="array" aca="1" ref="B12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91),"")</f>
        <v/>
      </c>
      <c r="C127" s="86" t="str" cm="1">
        <f t="array" aca="1" ref="C127" ca="1">IF(B127="","",IF(INDIRECT("'"&amp;$Q$3&amp;"'!"&amp;$Q$6&amp;(B127+1))=1,"ON","OFF"))</f>
        <v/>
      </c>
      <c r="D127" s="87" t="str" cm="1">
        <f t="array" aca="1" ref="D127" ca="1">IF(B127="","",IFERROR((INDIRECT("'"&amp;$Q$3&amp;"'!A"&amp;(B127+1))-INDIRECT("'"&amp;$Q$3&amp;"'!A2"))*86400,""))</f>
        <v/>
      </c>
      <c r="E127" s="88" t="str">
        <f t="shared" ca="1" si="5"/>
        <v/>
      </c>
      <c r="G127" s="60">
        <v>91</v>
      </c>
      <c r="H127" s="86" t="str" cm="1">
        <f t="array" aca="1" ref="H12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91),"")</f>
        <v/>
      </c>
      <c r="I127" s="86" t="str" cm="1">
        <f t="array" aca="1" ref="I127" ca="1">IF(H127="","",IF(INDIRECT("'"&amp;$Q$3&amp;"'!"&amp;$Q$7&amp;(H127+1))=1,"ON","OFF"))</f>
        <v/>
      </c>
      <c r="J127" s="87" t="str" cm="1">
        <f t="array" aca="1" ref="J127" ca="1">IF(H127="","",IFERROR((INDIRECT("'"&amp;$Q$3&amp;"'!A"&amp;(H127+1))-INDIRECT("'"&amp;$Q$3&amp;"'!A2"))*86400,""))</f>
        <v/>
      </c>
      <c r="K127" s="88" t="str">
        <f t="shared" ca="1" si="6"/>
        <v/>
      </c>
    </row>
    <row r="128" spans="1:11" x14ac:dyDescent="0.25">
      <c r="A128" s="60">
        <v>92</v>
      </c>
      <c r="B128" s="86" t="str" cm="1">
        <f t="array" aca="1" ref="B12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92),"")</f>
        <v/>
      </c>
      <c r="C128" s="86" t="str" cm="1">
        <f t="array" aca="1" ref="C128" ca="1">IF(B128="","",IF(INDIRECT("'"&amp;$Q$3&amp;"'!"&amp;$Q$6&amp;(B128+1))=1,"ON","OFF"))</f>
        <v/>
      </c>
      <c r="D128" s="87" t="str" cm="1">
        <f t="array" aca="1" ref="D128" ca="1">IF(B128="","",IFERROR((INDIRECT("'"&amp;$Q$3&amp;"'!A"&amp;(B128+1))-INDIRECT("'"&amp;$Q$3&amp;"'!A2"))*86400,""))</f>
        <v/>
      </c>
      <c r="E128" s="88" t="str">
        <f t="shared" ca="1" si="5"/>
        <v/>
      </c>
      <c r="G128" s="60">
        <v>92</v>
      </c>
      <c r="H128" s="86" t="str" cm="1">
        <f t="array" aca="1" ref="H12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92),"")</f>
        <v/>
      </c>
      <c r="I128" s="86" t="str" cm="1">
        <f t="array" aca="1" ref="I128" ca="1">IF(H128="","",IF(INDIRECT("'"&amp;$Q$3&amp;"'!"&amp;$Q$7&amp;(H128+1))=1,"ON","OFF"))</f>
        <v/>
      </c>
      <c r="J128" s="87" t="str" cm="1">
        <f t="array" aca="1" ref="J128" ca="1">IF(H128="","",IFERROR((INDIRECT("'"&amp;$Q$3&amp;"'!A"&amp;(H128+1))-INDIRECT("'"&amp;$Q$3&amp;"'!A2"))*86400,""))</f>
        <v/>
      </c>
      <c r="K128" s="88" t="str">
        <f t="shared" ca="1" si="6"/>
        <v/>
      </c>
    </row>
    <row r="129" spans="1:11" x14ac:dyDescent="0.25">
      <c r="A129" s="60">
        <v>93</v>
      </c>
      <c r="B129" s="86" t="str" cm="1">
        <f t="array" aca="1" ref="B12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93),"")</f>
        <v/>
      </c>
      <c r="C129" s="86" t="str" cm="1">
        <f t="array" aca="1" ref="C129" ca="1">IF(B129="","",IF(INDIRECT("'"&amp;$Q$3&amp;"'!"&amp;$Q$6&amp;(B129+1))=1,"ON","OFF"))</f>
        <v/>
      </c>
      <c r="D129" s="87" t="str" cm="1">
        <f t="array" aca="1" ref="D129" ca="1">IF(B129="","",IFERROR((INDIRECT("'"&amp;$Q$3&amp;"'!A"&amp;(B129+1))-INDIRECT("'"&amp;$Q$3&amp;"'!A2"))*86400,""))</f>
        <v/>
      </c>
      <c r="E129" s="88" t="str">
        <f t="shared" ca="1" si="5"/>
        <v/>
      </c>
      <c r="G129" s="60">
        <v>93</v>
      </c>
      <c r="H129" s="86" t="str" cm="1">
        <f t="array" aca="1" ref="H12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93),"")</f>
        <v/>
      </c>
      <c r="I129" s="86" t="str" cm="1">
        <f t="array" aca="1" ref="I129" ca="1">IF(H129="","",IF(INDIRECT("'"&amp;$Q$3&amp;"'!"&amp;$Q$7&amp;(H129+1))=1,"ON","OFF"))</f>
        <v/>
      </c>
      <c r="J129" s="87" t="str" cm="1">
        <f t="array" aca="1" ref="J129" ca="1">IF(H129="","",IFERROR((INDIRECT("'"&amp;$Q$3&amp;"'!A"&amp;(H129+1))-INDIRECT("'"&amp;$Q$3&amp;"'!A2"))*86400,""))</f>
        <v/>
      </c>
      <c r="K129" s="88" t="str">
        <f t="shared" ca="1" si="6"/>
        <v/>
      </c>
    </row>
    <row r="130" spans="1:11" x14ac:dyDescent="0.25">
      <c r="A130" s="60">
        <v>94</v>
      </c>
      <c r="B130" s="86" t="str" cm="1">
        <f t="array" aca="1" ref="B13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94),"")</f>
        <v/>
      </c>
      <c r="C130" s="86" t="str" cm="1">
        <f t="array" aca="1" ref="C130" ca="1">IF(B130="","",IF(INDIRECT("'"&amp;$Q$3&amp;"'!"&amp;$Q$6&amp;(B130+1))=1,"ON","OFF"))</f>
        <v/>
      </c>
      <c r="D130" s="87" t="str" cm="1">
        <f t="array" aca="1" ref="D130" ca="1">IF(B130="","",IFERROR((INDIRECT("'"&amp;$Q$3&amp;"'!A"&amp;(B130+1))-INDIRECT("'"&amp;$Q$3&amp;"'!A2"))*86400,""))</f>
        <v/>
      </c>
      <c r="E130" s="88" t="str">
        <f t="shared" ca="1" si="5"/>
        <v/>
      </c>
      <c r="G130" s="60">
        <v>94</v>
      </c>
      <c r="H130" s="86" t="str" cm="1">
        <f t="array" aca="1" ref="H13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94),"")</f>
        <v/>
      </c>
      <c r="I130" s="86" t="str" cm="1">
        <f t="array" aca="1" ref="I130" ca="1">IF(H130="","",IF(INDIRECT("'"&amp;$Q$3&amp;"'!"&amp;$Q$7&amp;(H130+1))=1,"ON","OFF"))</f>
        <v/>
      </c>
      <c r="J130" s="87" t="str" cm="1">
        <f t="array" aca="1" ref="J130" ca="1">IF(H130="","",IFERROR((INDIRECT("'"&amp;$Q$3&amp;"'!A"&amp;(H130+1))-INDIRECT("'"&amp;$Q$3&amp;"'!A2"))*86400,""))</f>
        <v/>
      </c>
      <c r="K130" s="88" t="str">
        <f t="shared" ca="1" si="6"/>
        <v/>
      </c>
    </row>
    <row r="131" spans="1:11" x14ac:dyDescent="0.25">
      <c r="A131" s="60">
        <v>95</v>
      </c>
      <c r="B131" s="86" t="str" cm="1">
        <f t="array" aca="1" ref="B13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95),"")</f>
        <v/>
      </c>
      <c r="C131" s="86" t="str" cm="1">
        <f t="array" aca="1" ref="C131" ca="1">IF(B131="","",IF(INDIRECT("'"&amp;$Q$3&amp;"'!"&amp;$Q$6&amp;(B131+1))=1,"ON","OFF"))</f>
        <v/>
      </c>
      <c r="D131" s="87" t="str" cm="1">
        <f t="array" aca="1" ref="D131" ca="1">IF(B131="","",IFERROR((INDIRECT("'"&amp;$Q$3&amp;"'!A"&amp;(B131+1))-INDIRECT("'"&amp;$Q$3&amp;"'!A2"))*86400,""))</f>
        <v/>
      </c>
      <c r="E131" s="88" t="str">
        <f t="shared" ca="1" si="5"/>
        <v/>
      </c>
      <c r="G131" s="60">
        <v>95</v>
      </c>
      <c r="H131" s="86" t="str" cm="1">
        <f t="array" aca="1" ref="H13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95),"")</f>
        <v/>
      </c>
      <c r="I131" s="86" t="str" cm="1">
        <f t="array" aca="1" ref="I131" ca="1">IF(H131="","",IF(INDIRECT("'"&amp;$Q$3&amp;"'!"&amp;$Q$7&amp;(H131+1))=1,"ON","OFF"))</f>
        <v/>
      </c>
      <c r="J131" s="87" t="str" cm="1">
        <f t="array" aca="1" ref="J131" ca="1">IF(H131="","",IFERROR((INDIRECT("'"&amp;$Q$3&amp;"'!A"&amp;(H131+1))-INDIRECT("'"&amp;$Q$3&amp;"'!A2"))*86400,""))</f>
        <v/>
      </c>
      <c r="K131" s="88" t="str">
        <f t="shared" ca="1" si="6"/>
        <v/>
      </c>
    </row>
    <row r="132" spans="1:11" x14ac:dyDescent="0.25">
      <c r="A132" s="60">
        <v>96</v>
      </c>
      <c r="B132" s="86" t="str" cm="1">
        <f t="array" aca="1" ref="B13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96),"")</f>
        <v/>
      </c>
      <c r="C132" s="86" t="str" cm="1">
        <f t="array" aca="1" ref="C132" ca="1">IF(B132="","",IF(INDIRECT("'"&amp;$Q$3&amp;"'!"&amp;$Q$6&amp;(B132+1))=1,"ON","OFF"))</f>
        <v/>
      </c>
      <c r="D132" s="87" t="str" cm="1">
        <f t="array" aca="1" ref="D132" ca="1">IF(B132="","",IFERROR((INDIRECT("'"&amp;$Q$3&amp;"'!A"&amp;(B132+1))-INDIRECT("'"&amp;$Q$3&amp;"'!A2"))*86400,""))</f>
        <v/>
      </c>
      <c r="E132" s="88" t="str">
        <f t="shared" ca="1" si="5"/>
        <v/>
      </c>
      <c r="G132" s="60">
        <v>96</v>
      </c>
      <c r="H132" s="86" t="str" cm="1">
        <f t="array" aca="1" ref="H13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96),"")</f>
        <v/>
      </c>
      <c r="I132" s="86" t="str" cm="1">
        <f t="array" aca="1" ref="I132" ca="1">IF(H132="","",IF(INDIRECT("'"&amp;$Q$3&amp;"'!"&amp;$Q$7&amp;(H132+1))=1,"ON","OFF"))</f>
        <v/>
      </c>
      <c r="J132" s="87" t="str" cm="1">
        <f t="array" aca="1" ref="J132" ca="1">IF(H132="","",IFERROR((INDIRECT("'"&amp;$Q$3&amp;"'!A"&amp;(H132+1))-INDIRECT("'"&amp;$Q$3&amp;"'!A2"))*86400,""))</f>
        <v/>
      </c>
      <c r="K132" s="88" t="str">
        <f t="shared" ca="1" si="6"/>
        <v/>
      </c>
    </row>
    <row r="133" spans="1:11" x14ac:dyDescent="0.25">
      <c r="A133" s="60">
        <v>97</v>
      </c>
      <c r="B133" s="86" t="str" cm="1">
        <f t="array" aca="1" ref="B13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97),"")</f>
        <v/>
      </c>
      <c r="C133" s="86" t="str" cm="1">
        <f t="array" aca="1" ref="C133" ca="1">IF(B133="","",IF(INDIRECT("'"&amp;$Q$3&amp;"'!"&amp;$Q$6&amp;(B133+1))=1,"ON","OFF"))</f>
        <v/>
      </c>
      <c r="D133" s="87" t="str" cm="1">
        <f t="array" aca="1" ref="D133" ca="1">IF(B133="","",IFERROR((INDIRECT("'"&amp;$Q$3&amp;"'!A"&amp;(B133+1))-INDIRECT("'"&amp;$Q$3&amp;"'!A2"))*86400,""))</f>
        <v/>
      </c>
      <c r="E133" s="88" t="str">
        <f t="shared" ref="E133:E164" ca="1" si="7">IF(OR(B133="",B134=""),"",ROUND((D134-D133)*1000,0))</f>
        <v/>
      </c>
      <c r="G133" s="60">
        <v>97</v>
      </c>
      <c r="H133" s="86" t="str" cm="1">
        <f t="array" aca="1" ref="H13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97),"")</f>
        <v/>
      </c>
      <c r="I133" s="86" t="str" cm="1">
        <f t="array" aca="1" ref="I133" ca="1">IF(H133="","",IF(INDIRECT("'"&amp;$Q$3&amp;"'!"&amp;$Q$7&amp;(H133+1))=1,"ON","OFF"))</f>
        <v/>
      </c>
      <c r="J133" s="87" t="str" cm="1">
        <f t="array" aca="1" ref="J133" ca="1">IF(H133="","",IFERROR((INDIRECT("'"&amp;$Q$3&amp;"'!A"&amp;(H133+1))-INDIRECT("'"&amp;$Q$3&amp;"'!A2"))*86400,""))</f>
        <v/>
      </c>
      <c r="K133" s="88" t="str">
        <f t="shared" ref="K133:K164" ca="1" si="8">IF(OR(H133="",H134=""),"",ROUND((J134-J133)*1000,0))</f>
        <v/>
      </c>
    </row>
    <row r="134" spans="1:11" x14ac:dyDescent="0.25">
      <c r="A134" s="60">
        <v>98</v>
      </c>
      <c r="B134" s="86" t="str" cm="1">
        <f t="array" aca="1" ref="B13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98),"")</f>
        <v/>
      </c>
      <c r="C134" s="86" t="str" cm="1">
        <f t="array" aca="1" ref="C134" ca="1">IF(B134="","",IF(INDIRECT("'"&amp;$Q$3&amp;"'!"&amp;$Q$6&amp;(B134+1))=1,"ON","OFF"))</f>
        <v/>
      </c>
      <c r="D134" s="87" t="str" cm="1">
        <f t="array" aca="1" ref="D134" ca="1">IF(B134="","",IFERROR((INDIRECT("'"&amp;$Q$3&amp;"'!A"&amp;(B134+1))-INDIRECT("'"&amp;$Q$3&amp;"'!A2"))*86400,""))</f>
        <v/>
      </c>
      <c r="E134" s="88" t="str">
        <f t="shared" ca="1" si="7"/>
        <v/>
      </c>
      <c r="G134" s="60">
        <v>98</v>
      </c>
      <c r="H134" s="86" t="str" cm="1">
        <f t="array" aca="1" ref="H13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98),"")</f>
        <v/>
      </c>
      <c r="I134" s="86" t="str" cm="1">
        <f t="array" aca="1" ref="I134" ca="1">IF(H134="","",IF(INDIRECT("'"&amp;$Q$3&amp;"'!"&amp;$Q$7&amp;(H134+1))=1,"ON","OFF"))</f>
        <v/>
      </c>
      <c r="J134" s="87" t="str" cm="1">
        <f t="array" aca="1" ref="J134" ca="1">IF(H134="","",IFERROR((INDIRECT("'"&amp;$Q$3&amp;"'!A"&amp;(H134+1))-INDIRECT("'"&amp;$Q$3&amp;"'!A2"))*86400,""))</f>
        <v/>
      </c>
      <c r="K134" s="88" t="str">
        <f t="shared" ca="1" si="8"/>
        <v/>
      </c>
    </row>
    <row r="135" spans="1:11" x14ac:dyDescent="0.25">
      <c r="A135" s="60">
        <v>99</v>
      </c>
      <c r="B135" s="86" t="str" cm="1">
        <f t="array" aca="1" ref="B13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99),"")</f>
        <v/>
      </c>
      <c r="C135" s="86" t="str" cm="1">
        <f t="array" aca="1" ref="C135" ca="1">IF(B135="","",IF(INDIRECT("'"&amp;$Q$3&amp;"'!"&amp;$Q$6&amp;(B135+1))=1,"ON","OFF"))</f>
        <v/>
      </c>
      <c r="D135" s="87" t="str" cm="1">
        <f t="array" aca="1" ref="D135" ca="1">IF(B135="","",IFERROR((INDIRECT("'"&amp;$Q$3&amp;"'!A"&amp;(B135+1))-INDIRECT("'"&amp;$Q$3&amp;"'!A2"))*86400,""))</f>
        <v/>
      </c>
      <c r="E135" s="88" t="str">
        <f t="shared" ca="1" si="7"/>
        <v/>
      </c>
      <c r="G135" s="60">
        <v>99</v>
      </c>
      <c r="H135" s="86" t="str" cm="1">
        <f t="array" aca="1" ref="H13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99),"")</f>
        <v/>
      </c>
      <c r="I135" s="86" t="str" cm="1">
        <f t="array" aca="1" ref="I135" ca="1">IF(H135="","",IF(INDIRECT("'"&amp;$Q$3&amp;"'!"&amp;$Q$7&amp;(H135+1))=1,"ON","OFF"))</f>
        <v/>
      </c>
      <c r="J135" s="87" t="str" cm="1">
        <f t="array" aca="1" ref="J135" ca="1">IF(H135="","",IFERROR((INDIRECT("'"&amp;$Q$3&amp;"'!A"&amp;(H135+1))-INDIRECT("'"&amp;$Q$3&amp;"'!A2"))*86400,""))</f>
        <v/>
      </c>
      <c r="K135" s="88" t="str">
        <f t="shared" ca="1" si="8"/>
        <v/>
      </c>
    </row>
    <row r="136" spans="1:11" x14ac:dyDescent="0.25">
      <c r="A136" s="60">
        <v>100</v>
      </c>
      <c r="B136" s="86" t="str" cm="1">
        <f t="array" aca="1" ref="B13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100),"")</f>
        <v/>
      </c>
      <c r="C136" s="86" t="str" cm="1">
        <f t="array" aca="1" ref="C136" ca="1">IF(B136="","",IF(INDIRECT("'"&amp;$Q$3&amp;"'!"&amp;$Q$6&amp;(B136+1))=1,"ON","OFF"))</f>
        <v/>
      </c>
      <c r="D136" s="87" t="str" cm="1">
        <f t="array" aca="1" ref="D136" ca="1">IF(B136="","",IFERROR((INDIRECT("'"&amp;$Q$3&amp;"'!A"&amp;(B136+1))-INDIRECT("'"&amp;$Q$3&amp;"'!A2"))*86400,""))</f>
        <v/>
      </c>
      <c r="E136" s="88" t="str">
        <f t="shared" ca="1" si="7"/>
        <v/>
      </c>
      <c r="G136" s="60">
        <v>100</v>
      </c>
      <c r="H136" s="86" t="str" cm="1">
        <f t="array" aca="1" ref="H13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100),"")</f>
        <v/>
      </c>
      <c r="I136" s="86" t="str" cm="1">
        <f t="array" aca="1" ref="I136" ca="1">IF(H136="","",IF(INDIRECT("'"&amp;$Q$3&amp;"'!"&amp;$Q$7&amp;(H136+1))=1,"ON","OFF"))</f>
        <v/>
      </c>
      <c r="J136" s="87" t="str" cm="1">
        <f t="array" aca="1" ref="J136" ca="1">IF(H136="","",IFERROR((INDIRECT("'"&amp;$Q$3&amp;"'!A"&amp;(H136+1))-INDIRECT("'"&amp;$Q$3&amp;"'!A2"))*86400,""))</f>
        <v/>
      </c>
      <c r="K136" s="88" t="str">
        <f t="shared" ca="1" si="8"/>
        <v/>
      </c>
    </row>
    <row r="137" spans="1:11" x14ac:dyDescent="0.25">
      <c r="A137" s="60">
        <v>101</v>
      </c>
      <c r="B137" s="86" t="str" cm="1">
        <f t="array" aca="1" ref="B13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101),"")</f>
        <v/>
      </c>
      <c r="C137" s="86" t="str" cm="1">
        <f t="array" aca="1" ref="C137" ca="1">IF(B137="","",IF(INDIRECT("'"&amp;$Q$3&amp;"'!"&amp;$Q$6&amp;(B137+1))=1,"ON","OFF"))</f>
        <v/>
      </c>
      <c r="D137" s="87" t="str" cm="1">
        <f t="array" aca="1" ref="D137" ca="1">IF(B137="","",IFERROR((INDIRECT("'"&amp;$Q$3&amp;"'!A"&amp;(B137+1))-INDIRECT("'"&amp;$Q$3&amp;"'!A2"))*86400,""))</f>
        <v/>
      </c>
      <c r="E137" s="88" t="str">
        <f t="shared" ca="1" si="7"/>
        <v/>
      </c>
      <c r="G137" s="60">
        <v>101</v>
      </c>
      <c r="H137" s="86" t="str" cm="1">
        <f t="array" aca="1" ref="H13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101),"")</f>
        <v/>
      </c>
      <c r="I137" s="86" t="str" cm="1">
        <f t="array" aca="1" ref="I137" ca="1">IF(H137="","",IF(INDIRECT("'"&amp;$Q$3&amp;"'!"&amp;$Q$7&amp;(H137+1))=1,"ON","OFF"))</f>
        <v/>
      </c>
      <c r="J137" s="87" t="str" cm="1">
        <f t="array" aca="1" ref="J137" ca="1">IF(H137="","",IFERROR((INDIRECT("'"&amp;$Q$3&amp;"'!A"&amp;(H137+1))-INDIRECT("'"&amp;$Q$3&amp;"'!A2"))*86400,""))</f>
        <v/>
      </c>
      <c r="K137" s="88" t="str">
        <f t="shared" ca="1" si="8"/>
        <v/>
      </c>
    </row>
    <row r="138" spans="1:11" x14ac:dyDescent="0.25">
      <c r="A138" s="60">
        <v>102</v>
      </c>
      <c r="B138" s="86" t="str" cm="1">
        <f t="array" aca="1" ref="B13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102),"")</f>
        <v/>
      </c>
      <c r="C138" s="86" t="str" cm="1">
        <f t="array" aca="1" ref="C138" ca="1">IF(B138="","",IF(INDIRECT("'"&amp;$Q$3&amp;"'!"&amp;$Q$6&amp;(B138+1))=1,"ON","OFF"))</f>
        <v/>
      </c>
      <c r="D138" s="87" t="str" cm="1">
        <f t="array" aca="1" ref="D138" ca="1">IF(B138="","",IFERROR((INDIRECT("'"&amp;$Q$3&amp;"'!A"&amp;(B138+1))-INDIRECT("'"&amp;$Q$3&amp;"'!A2"))*86400,""))</f>
        <v/>
      </c>
      <c r="E138" s="88" t="str">
        <f t="shared" ca="1" si="7"/>
        <v/>
      </c>
      <c r="G138" s="60">
        <v>102</v>
      </c>
      <c r="H138" s="86" t="str" cm="1">
        <f t="array" aca="1" ref="H13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102),"")</f>
        <v/>
      </c>
      <c r="I138" s="86" t="str" cm="1">
        <f t="array" aca="1" ref="I138" ca="1">IF(H138="","",IF(INDIRECT("'"&amp;$Q$3&amp;"'!"&amp;$Q$7&amp;(H138+1))=1,"ON","OFF"))</f>
        <v/>
      </c>
      <c r="J138" s="87" t="str" cm="1">
        <f t="array" aca="1" ref="J138" ca="1">IF(H138="","",IFERROR((INDIRECT("'"&amp;$Q$3&amp;"'!A"&amp;(H138+1))-INDIRECT("'"&amp;$Q$3&amp;"'!A2"))*86400,""))</f>
        <v/>
      </c>
      <c r="K138" s="88" t="str">
        <f t="shared" ca="1" si="8"/>
        <v/>
      </c>
    </row>
    <row r="139" spans="1:11" x14ac:dyDescent="0.25">
      <c r="A139" s="60">
        <v>103</v>
      </c>
      <c r="B139" s="86" t="str" cm="1">
        <f t="array" aca="1" ref="B13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103),"")</f>
        <v/>
      </c>
      <c r="C139" s="86" t="str" cm="1">
        <f t="array" aca="1" ref="C139" ca="1">IF(B139="","",IF(INDIRECT("'"&amp;$Q$3&amp;"'!"&amp;$Q$6&amp;(B139+1))=1,"ON","OFF"))</f>
        <v/>
      </c>
      <c r="D139" s="87" t="str" cm="1">
        <f t="array" aca="1" ref="D139" ca="1">IF(B139="","",IFERROR((INDIRECT("'"&amp;$Q$3&amp;"'!A"&amp;(B139+1))-INDIRECT("'"&amp;$Q$3&amp;"'!A2"))*86400,""))</f>
        <v/>
      </c>
      <c r="E139" s="88" t="str">
        <f t="shared" ca="1" si="7"/>
        <v/>
      </c>
      <c r="G139" s="60">
        <v>103</v>
      </c>
      <c r="H139" s="86" t="str" cm="1">
        <f t="array" aca="1" ref="H13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103),"")</f>
        <v/>
      </c>
      <c r="I139" s="86" t="str" cm="1">
        <f t="array" aca="1" ref="I139" ca="1">IF(H139="","",IF(INDIRECT("'"&amp;$Q$3&amp;"'!"&amp;$Q$7&amp;(H139+1))=1,"ON","OFF"))</f>
        <v/>
      </c>
      <c r="J139" s="87" t="str" cm="1">
        <f t="array" aca="1" ref="J139" ca="1">IF(H139="","",IFERROR((INDIRECT("'"&amp;$Q$3&amp;"'!A"&amp;(H139+1))-INDIRECT("'"&amp;$Q$3&amp;"'!A2"))*86400,""))</f>
        <v/>
      </c>
      <c r="K139" s="88" t="str">
        <f t="shared" ca="1" si="8"/>
        <v/>
      </c>
    </row>
    <row r="140" spans="1:11" x14ac:dyDescent="0.25">
      <c r="A140" s="60">
        <v>104</v>
      </c>
      <c r="B140" s="86" t="str" cm="1">
        <f t="array" aca="1" ref="B14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104),"")</f>
        <v/>
      </c>
      <c r="C140" s="86" t="str" cm="1">
        <f t="array" aca="1" ref="C140" ca="1">IF(B140="","",IF(INDIRECT("'"&amp;$Q$3&amp;"'!"&amp;$Q$6&amp;(B140+1))=1,"ON","OFF"))</f>
        <v/>
      </c>
      <c r="D140" s="87" t="str" cm="1">
        <f t="array" aca="1" ref="D140" ca="1">IF(B140="","",IFERROR((INDIRECT("'"&amp;$Q$3&amp;"'!A"&amp;(B140+1))-INDIRECT("'"&amp;$Q$3&amp;"'!A2"))*86400,""))</f>
        <v/>
      </c>
      <c r="E140" s="88" t="str">
        <f t="shared" ca="1" si="7"/>
        <v/>
      </c>
      <c r="G140" s="60">
        <v>104</v>
      </c>
      <c r="H140" s="86" t="str" cm="1">
        <f t="array" aca="1" ref="H14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104),"")</f>
        <v/>
      </c>
      <c r="I140" s="86" t="str" cm="1">
        <f t="array" aca="1" ref="I140" ca="1">IF(H140="","",IF(INDIRECT("'"&amp;$Q$3&amp;"'!"&amp;$Q$7&amp;(H140+1))=1,"ON","OFF"))</f>
        <v/>
      </c>
      <c r="J140" s="87" t="str" cm="1">
        <f t="array" aca="1" ref="J140" ca="1">IF(H140="","",IFERROR((INDIRECT("'"&amp;$Q$3&amp;"'!A"&amp;(H140+1))-INDIRECT("'"&amp;$Q$3&amp;"'!A2"))*86400,""))</f>
        <v/>
      </c>
      <c r="K140" s="88" t="str">
        <f t="shared" ca="1" si="8"/>
        <v/>
      </c>
    </row>
    <row r="141" spans="1:11" x14ac:dyDescent="0.25">
      <c r="A141" s="60">
        <v>105</v>
      </c>
      <c r="B141" s="86" t="str" cm="1">
        <f t="array" aca="1" ref="B14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105),"")</f>
        <v/>
      </c>
      <c r="C141" s="86" t="str" cm="1">
        <f t="array" aca="1" ref="C141" ca="1">IF(B141="","",IF(INDIRECT("'"&amp;$Q$3&amp;"'!"&amp;$Q$6&amp;(B141+1))=1,"ON","OFF"))</f>
        <v/>
      </c>
      <c r="D141" s="87" t="str" cm="1">
        <f t="array" aca="1" ref="D141" ca="1">IF(B141="","",IFERROR((INDIRECT("'"&amp;$Q$3&amp;"'!A"&amp;(B141+1))-INDIRECT("'"&amp;$Q$3&amp;"'!A2"))*86400,""))</f>
        <v/>
      </c>
      <c r="E141" s="88" t="str">
        <f t="shared" ca="1" si="7"/>
        <v/>
      </c>
      <c r="G141" s="60">
        <v>105</v>
      </c>
      <c r="H141" s="86" t="str" cm="1">
        <f t="array" aca="1" ref="H14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105),"")</f>
        <v/>
      </c>
      <c r="I141" s="86" t="str" cm="1">
        <f t="array" aca="1" ref="I141" ca="1">IF(H141="","",IF(INDIRECT("'"&amp;$Q$3&amp;"'!"&amp;$Q$7&amp;(H141+1))=1,"ON","OFF"))</f>
        <v/>
      </c>
      <c r="J141" s="87" t="str" cm="1">
        <f t="array" aca="1" ref="J141" ca="1">IF(H141="","",IFERROR((INDIRECT("'"&amp;$Q$3&amp;"'!A"&amp;(H141+1))-INDIRECT("'"&amp;$Q$3&amp;"'!A2"))*86400,""))</f>
        <v/>
      </c>
      <c r="K141" s="88" t="str">
        <f t="shared" ca="1" si="8"/>
        <v/>
      </c>
    </row>
    <row r="142" spans="1:11" x14ac:dyDescent="0.25">
      <c r="A142" s="60">
        <v>106</v>
      </c>
      <c r="B142" s="86" t="str" cm="1">
        <f t="array" aca="1" ref="B14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106),"")</f>
        <v/>
      </c>
      <c r="C142" s="86" t="str" cm="1">
        <f t="array" aca="1" ref="C142" ca="1">IF(B142="","",IF(INDIRECT("'"&amp;$Q$3&amp;"'!"&amp;$Q$6&amp;(B142+1))=1,"ON","OFF"))</f>
        <v/>
      </c>
      <c r="D142" s="87" t="str" cm="1">
        <f t="array" aca="1" ref="D142" ca="1">IF(B142="","",IFERROR((INDIRECT("'"&amp;$Q$3&amp;"'!A"&amp;(B142+1))-INDIRECT("'"&amp;$Q$3&amp;"'!A2"))*86400,""))</f>
        <v/>
      </c>
      <c r="E142" s="88" t="str">
        <f t="shared" ca="1" si="7"/>
        <v/>
      </c>
      <c r="G142" s="60">
        <v>106</v>
      </c>
      <c r="H142" s="86" t="str" cm="1">
        <f t="array" aca="1" ref="H14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106),"")</f>
        <v/>
      </c>
      <c r="I142" s="86" t="str" cm="1">
        <f t="array" aca="1" ref="I142" ca="1">IF(H142="","",IF(INDIRECT("'"&amp;$Q$3&amp;"'!"&amp;$Q$7&amp;(H142+1))=1,"ON","OFF"))</f>
        <v/>
      </c>
      <c r="J142" s="87" t="str" cm="1">
        <f t="array" aca="1" ref="J142" ca="1">IF(H142="","",IFERROR((INDIRECT("'"&amp;$Q$3&amp;"'!A"&amp;(H142+1))-INDIRECT("'"&amp;$Q$3&amp;"'!A2"))*86400,""))</f>
        <v/>
      </c>
      <c r="K142" s="88" t="str">
        <f t="shared" ca="1" si="8"/>
        <v/>
      </c>
    </row>
    <row r="143" spans="1:11" x14ac:dyDescent="0.25">
      <c r="A143" s="60">
        <v>107</v>
      </c>
      <c r="B143" s="86" t="str" cm="1">
        <f t="array" aca="1" ref="B14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107),"")</f>
        <v/>
      </c>
      <c r="C143" s="86" t="str" cm="1">
        <f t="array" aca="1" ref="C143" ca="1">IF(B143="","",IF(INDIRECT("'"&amp;$Q$3&amp;"'!"&amp;$Q$6&amp;(B143+1))=1,"ON","OFF"))</f>
        <v/>
      </c>
      <c r="D143" s="87" t="str" cm="1">
        <f t="array" aca="1" ref="D143" ca="1">IF(B143="","",IFERROR((INDIRECT("'"&amp;$Q$3&amp;"'!A"&amp;(B143+1))-INDIRECT("'"&amp;$Q$3&amp;"'!A2"))*86400,""))</f>
        <v/>
      </c>
      <c r="E143" s="88" t="str">
        <f t="shared" ca="1" si="7"/>
        <v/>
      </c>
      <c r="G143" s="60">
        <v>107</v>
      </c>
      <c r="H143" s="86" t="str" cm="1">
        <f t="array" aca="1" ref="H14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107),"")</f>
        <v/>
      </c>
      <c r="I143" s="86" t="str" cm="1">
        <f t="array" aca="1" ref="I143" ca="1">IF(H143="","",IF(INDIRECT("'"&amp;$Q$3&amp;"'!"&amp;$Q$7&amp;(H143+1))=1,"ON","OFF"))</f>
        <v/>
      </c>
      <c r="J143" s="87" t="str" cm="1">
        <f t="array" aca="1" ref="J143" ca="1">IF(H143="","",IFERROR((INDIRECT("'"&amp;$Q$3&amp;"'!A"&amp;(H143+1))-INDIRECT("'"&amp;$Q$3&amp;"'!A2"))*86400,""))</f>
        <v/>
      </c>
      <c r="K143" s="88" t="str">
        <f t="shared" ca="1" si="8"/>
        <v/>
      </c>
    </row>
    <row r="144" spans="1:11" x14ac:dyDescent="0.25">
      <c r="A144" s="60">
        <v>108</v>
      </c>
      <c r="B144" s="86" t="str" cm="1">
        <f t="array" aca="1" ref="B14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108),"")</f>
        <v/>
      </c>
      <c r="C144" s="86" t="str" cm="1">
        <f t="array" aca="1" ref="C144" ca="1">IF(B144="","",IF(INDIRECT("'"&amp;$Q$3&amp;"'!"&amp;$Q$6&amp;(B144+1))=1,"ON","OFF"))</f>
        <v/>
      </c>
      <c r="D144" s="87" t="str" cm="1">
        <f t="array" aca="1" ref="D144" ca="1">IF(B144="","",IFERROR((INDIRECT("'"&amp;$Q$3&amp;"'!A"&amp;(B144+1))-INDIRECT("'"&amp;$Q$3&amp;"'!A2"))*86400,""))</f>
        <v/>
      </c>
      <c r="E144" s="88" t="str">
        <f t="shared" ca="1" si="7"/>
        <v/>
      </c>
      <c r="G144" s="60">
        <v>108</v>
      </c>
      <c r="H144" s="86" t="str" cm="1">
        <f t="array" aca="1" ref="H14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108),"")</f>
        <v/>
      </c>
      <c r="I144" s="86" t="str" cm="1">
        <f t="array" aca="1" ref="I144" ca="1">IF(H144="","",IF(INDIRECT("'"&amp;$Q$3&amp;"'!"&amp;$Q$7&amp;(H144+1))=1,"ON","OFF"))</f>
        <v/>
      </c>
      <c r="J144" s="87" t="str" cm="1">
        <f t="array" aca="1" ref="J144" ca="1">IF(H144="","",IFERROR((INDIRECT("'"&amp;$Q$3&amp;"'!A"&amp;(H144+1))-INDIRECT("'"&amp;$Q$3&amp;"'!A2"))*86400,""))</f>
        <v/>
      </c>
      <c r="K144" s="88" t="str">
        <f t="shared" ca="1" si="8"/>
        <v/>
      </c>
    </row>
    <row r="145" spans="1:11" x14ac:dyDescent="0.25">
      <c r="A145" s="60">
        <v>109</v>
      </c>
      <c r="B145" s="86" t="str" cm="1">
        <f t="array" aca="1" ref="B14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109),"")</f>
        <v/>
      </c>
      <c r="C145" s="86" t="str" cm="1">
        <f t="array" aca="1" ref="C145" ca="1">IF(B145="","",IF(INDIRECT("'"&amp;$Q$3&amp;"'!"&amp;$Q$6&amp;(B145+1))=1,"ON","OFF"))</f>
        <v/>
      </c>
      <c r="D145" s="87" t="str" cm="1">
        <f t="array" aca="1" ref="D145" ca="1">IF(B145="","",IFERROR((INDIRECT("'"&amp;$Q$3&amp;"'!A"&amp;(B145+1))-INDIRECT("'"&amp;$Q$3&amp;"'!A2"))*86400,""))</f>
        <v/>
      </c>
      <c r="E145" s="88" t="str">
        <f t="shared" ca="1" si="7"/>
        <v/>
      </c>
      <c r="G145" s="60">
        <v>109</v>
      </c>
      <c r="H145" s="86" t="str" cm="1">
        <f t="array" aca="1" ref="H14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109),"")</f>
        <v/>
      </c>
      <c r="I145" s="86" t="str" cm="1">
        <f t="array" aca="1" ref="I145" ca="1">IF(H145="","",IF(INDIRECT("'"&amp;$Q$3&amp;"'!"&amp;$Q$7&amp;(H145+1))=1,"ON","OFF"))</f>
        <v/>
      </c>
      <c r="J145" s="87" t="str" cm="1">
        <f t="array" aca="1" ref="J145" ca="1">IF(H145="","",IFERROR((INDIRECT("'"&amp;$Q$3&amp;"'!A"&amp;(H145+1))-INDIRECT("'"&amp;$Q$3&amp;"'!A2"))*86400,""))</f>
        <v/>
      </c>
      <c r="K145" s="88" t="str">
        <f t="shared" ca="1" si="8"/>
        <v/>
      </c>
    </row>
    <row r="146" spans="1:11" x14ac:dyDescent="0.25">
      <c r="A146" s="60">
        <v>110</v>
      </c>
      <c r="B146" s="86" t="str" cm="1">
        <f t="array" aca="1" ref="B14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110),"")</f>
        <v/>
      </c>
      <c r="C146" s="86" t="str" cm="1">
        <f t="array" aca="1" ref="C146" ca="1">IF(B146="","",IF(INDIRECT("'"&amp;$Q$3&amp;"'!"&amp;$Q$6&amp;(B146+1))=1,"ON","OFF"))</f>
        <v/>
      </c>
      <c r="D146" s="87" t="str" cm="1">
        <f t="array" aca="1" ref="D146" ca="1">IF(B146="","",IFERROR((INDIRECT("'"&amp;$Q$3&amp;"'!A"&amp;(B146+1))-INDIRECT("'"&amp;$Q$3&amp;"'!A2"))*86400,""))</f>
        <v/>
      </c>
      <c r="E146" s="88" t="str">
        <f t="shared" ca="1" si="7"/>
        <v/>
      </c>
      <c r="G146" s="60">
        <v>110</v>
      </c>
      <c r="H146" s="86" t="str" cm="1">
        <f t="array" aca="1" ref="H14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110),"")</f>
        <v/>
      </c>
      <c r="I146" s="86" t="str" cm="1">
        <f t="array" aca="1" ref="I146" ca="1">IF(H146="","",IF(INDIRECT("'"&amp;$Q$3&amp;"'!"&amp;$Q$7&amp;(H146+1))=1,"ON","OFF"))</f>
        <v/>
      </c>
      <c r="J146" s="87" t="str" cm="1">
        <f t="array" aca="1" ref="J146" ca="1">IF(H146="","",IFERROR((INDIRECT("'"&amp;$Q$3&amp;"'!A"&amp;(H146+1))-INDIRECT("'"&amp;$Q$3&amp;"'!A2"))*86400,""))</f>
        <v/>
      </c>
      <c r="K146" s="88" t="str">
        <f t="shared" ca="1" si="8"/>
        <v/>
      </c>
    </row>
    <row r="147" spans="1:11" x14ac:dyDescent="0.25">
      <c r="A147" s="60">
        <v>111</v>
      </c>
      <c r="B147" s="86" t="str" cm="1">
        <f t="array" aca="1" ref="B14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111),"")</f>
        <v/>
      </c>
      <c r="C147" s="86" t="str" cm="1">
        <f t="array" aca="1" ref="C147" ca="1">IF(B147="","",IF(INDIRECT("'"&amp;$Q$3&amp;"'!"&amp;$Q$6&amp;(B147+1))=1,"ON","OFF"))</f>
        <v/>
      </c>
      <c r="D147" s="87" t="str" cm="1">
        <f t="array" aca="1" ref="D147" ca="1">IF(B147="","",IFERROR((INDIRECT("'"&amp;$Q$3&amp;"'!A"&amp;(B147+1))-INDIRECT("'"&amp;$Q$3&amp;"'!A2"))*86400,""))</f>
        <v/>
      </c>
      <c r="E147" s="88" t="str">
        <f t="shared" ca="1" si="7"/>
        <v/>
      </c>
      <c r="G147" s="60">
        <v>111</v>
      </c>
      <c r="H147" s="86" t="str" cm="1">
        <f t="array" aca="1" ref="H14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111),"")</f>
        <v/>
      </c>
      <c r="I147" s="86" t="str" cm="1">
        <f t="array" aca="1" ref="I147" ca="1">IF(H147="","",IF(INDIRECT("'"&amp;$Q$3&amp;"'!"&amp;$Q$7&amp;(H147+1))=1,"ON","OFF"))</f>
        <v/>
      </c>
      <c r="J147" s="87" t="str" cm="1">
        <f t="array" aca="1" ref="J147" ca="1">IF(H147="","",IFERROR((INDIRECT("'"&amp;$Q$3&amp;"'!A"&amp;(H147+1))-INDIRECT("'"&amp;$Q$3&amp;"'!A2"))*86400,""))</f>
        <v/>
      </c>
      <c r="K147" s="88" t="str">
        <f t="shared" ca="1" si="8"/>
        <v/>
      </c>
    </row>
    <row r="148" spans="1:11" x14ac:dyDescent="0.25">
      <c r="A148" s="60">
        <v>112</v>
      </c>
      <c r="B148" s="86" t="str" cm="1">
        <f t="array" aca="1" ref="B14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112),"")</f>
        <v/>
      </c>
      <c r="C148" s="86" t="str" cm="1">
        <f t="array" aca="1" ref="C148" ca="1">IF(B148="","",IF(INDIRECT("'"&amp;$Q$3&amp;"'!"&amp;$Q$6&amp;(B148+1))=1,"ON","OFF"))</f>
        <v/>
      </c>
      <c r="D148" s="87" t="str" cm="1">
        <f t="array" aca="1" ref="D148" ca="1">IF(B148="","",IFERROR((INDIRECT("'"&amp;$Q$3&amp;"'!A"&amp;(B148+1))-INDIRECT("'"&amp;$Q$3&amp;"'!A2"))*86400,""))</f>
        <v/>
      </c>
      <c r="E148" s="88" t="str">
        <f t="shared" ca="1" si="7"/>
        <v/>
      </c>
      <c r="G148" s="60">
        <v>112</v>
      </c>
      <c r="H148" s="86" t="str" cm="1">
        <f t="array" aca="1" ref="H14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112),"")</f>
        <v/>
      </c>
      <c r="I148" s="86" t="str" cm="1">
        <f t="array" aca="1" ref="I148" ca="1">IF(H148="","",IF(INDIRECT("'"&amp;$Q$3&amp;"'!"&amp;$Q$7&amp;(H148+1))=1,"ON","OFF"))</f>
        <v/>
      </c>
      <c r="J148" s="87" t="str" cm="1">
        <f t="array" aca="1" ref="J148" ca="1">IF(H148="","",IFERROR((INDIRECT("'"&amp;$Q$3&amp;"'!A"&amp;(H148+1))-INDIRECT("'"&amp;$Q$3&amp;"'!A2"))*86400,""))</f>
        <v/>
      </c>
      <c r="K148" s="88" t="str">
        <f t="shared" ca="1" si="8"/>
        <v/>
      </c>
    </row>
    <row r="149" spans="1:11" x14ac:dyDescent="0.25">
      <c r="A149" s="60">
        <v>113</v>
      </c>
      <c r="B149" s="86" t="str" cm="1">
        <f t="array" aca="1" ref="B14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113),"")</f>
        <v/>
      </c>
      <c r="C149" s="86" t="str" cm="1">
        <f t="array" aca="1" ref="C149" ca="1">IF(B149="","",IF(INDIRECT("'"&amp;$Q$3&amp;"'!"&amp;$Q$6&amp;(B149+1))=1,"ON","OFF"))</f>
        <v/>
      </c>
      <c r="D149" s="87" t="str" cm="1">
        <f t="array" aca="1" ref="D149" ca="1">IF(B149="","",IFERROR((INDIRECT("'"&amp;$Q$3&amp;"'!A"&amp;(B149+1))-INDIRECT("'"&amp;$Q$3&amp;"'!A2"))*86400,""))</f>
        <v/>
      </c>
      <c r="E149" s="88" t="str">
        <f t="shared" ca="1" si="7"/>
        <v/>
      </c>
      <c r="G149" s="60">
        <v>113</v>
      </c>
      <c r="H149" s="86" t="str" cm="1">
        <f t="array" aca="1" ref="H14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113),"")</f>
        <v/>
      </c>
      <c r="I149" s="86" t="str" cm="1">
        <f t="array" aca="1" ref="I149" ca="1">IF(H149="","",IF(INDIRECT("'"&amp;$Q$3&amp;"'!"&amp;$Q$7&amp;(H149+1))=1,"ON","OFF"))</f>
        <v/>
      </c>
      <c r="J149" s="87" t="str" cm="1">
        <f t="array" aca="1" ref="J149" ca="1">IF(H149="","",IFERROR((INDIRECT("'"&amp;$Q$3&amp;"'!A"&amp;(H149+1))-INDIRECT("'"&amp;$Q$3&amp;"'!A2"))*86400,""))</f>
        <v/>
      </c>
      <c r="K149" s="88" t="str">
        <f t="shared" ca="1" si="8"/>
        <v/>
      </c>
    </row>
    <row r="150" spans="1:11" x14ac:dyDescent="0.25">
      <c r="A150" s="60">
        <v>114</v>
      </c>
      <c r="B150" s="86" t="str" cm="1">
        <f t="array" aca="1" ref="B15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114),"")</f>
        <v/>
      </c>
      <c r="C150" s="86" t="str" cm="1">
        <f t="array" aca="1" ref="C150" ca="1">IF(B150="","",IF(INDIRECT("'"&amp;$Q$3&amp;"'!"&amp;$Q$6&amp;(B150+1))=1,"ON","OFF"))</f>
        <v/>
      </c>
      <c r="D150" s="87" t="str" cm="1">
        <f t="array" aca="1" ref="D150" ca="1">IF(B150="","",IFERROR((INDIRECT("'"&amp;$Q$3&amp;"'!A"&amp;(B150+1))-INDIRECT("'"&amp;$Q$3&amp;"'!A2"))*86400,""))</f>
        <v/>
      </c>
      <c r="E150" s="88" t="str">
        <f t="shared" ca="1" si="7"/>
        <v/>
      </c>
      <c r="G150" s="60">
        <v>114</v>
      </c>
      <c r="H150" s="86" t="str" cm="1">
        <f t="array" aca="1" ref="H15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114),"")</f>
        <v/>
      </c>
      <c r="I150" s="86" t="str" cm="1">
        <f t="array" aca="1" ref="I150" ca="1">IF(H150="","",IF(INDIRECT("'"&amp;$Q$3&amp;"'!"&amp;$Q$7&amp;(H150+1))=1,"ON","OFF"))</f>
        <v/>
      </c>
      <c r="J150" s="87" t="str" cm="1">
        <f t="array" aca="1" ref="J150" ca="1">IF(H150="","",IFERROR((INDIRECT("'"&amp;$Q$3&amp;"'!A"&amp;(H150+1))-INDIRECT("'"&amp;$Q$3&amp;"'!A2"))*86400,""))</f>
        <v/>
      </c>
      <c r="K150" s="88" t="str">
        <f t="shared" ca="1" si="8"/>
        <v/>
      </c>
    </row>
    <row r="151" spans="1:11" x14ac:dyDescent="0.25">
      <c r="A151" s="60">
        <v>115</v>
      </c>
      <c r="B151" s="86" t="str" cm="1">
        <f t="array" aca="1" ref="B15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115),"")</f>
        <v/>
      </c>
      <c r="C151" s="86" t="str" cm="1">
        <f t="array" aca="1" ref="C151" ca="1">IF(B151="","",IF(INDIRECT("'"&amp;$Q$3&amp;"'!"&amp;$Q$6&amp;(B151+1))=1,"ON","OFF"))</f>
        <v/>
      </c>
      <c r="D151" s="87" t="str" cm="1">
        <f t="array" aca="1" ref="D151" ca="1">IF(B151="","",IFERROR((INDIRECT("'"&amp;$Q$3&amp;"'!A"&amp;(B151+1))-INDIRECT("'"&amp;$Q$3&amp;"'!A2"))*86400,""))</f>
        <v/>
      </c>
      <c r="E151" s="88" t="str">
        <f t="shared" ca="1" si="7"/>
        <v/>
      </c>
      <c r="G151" s="60">
        <v>115</v>
      </c>
      <c r="H151" s="86" t="str" cm="1">
        <f t="array" aca="1" ref="H15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115),"")</f>
        <v/>
      </c>
      <c r="I151" s="86" t="str" cm="1">
        <f t="array" aca="1" ref="I151" ca="1">IF(H151="","",IF(INDIRECT("'"&amp;$Q$3&amp;"'!"&amp;$Q$7&amp;(H151+1))=1,"ON","OFF"))</f>
        <v/>
      </c>
      <c r="J151" s="87" t="str" cm="1">
        <f t="array" aca="1" ref="J151" ca="1">IF(H151="","",IFERROR((INDIRECT("'"&amp;$Q$3&amp;"'!A"&amp;(H151+1))-INDIRECT("'"&amp;$Q$3&amp;"'!A2"))*86400,""))</f>
        <v/>
      </c>
      <c r="K151" s="88" t="str">
        <f t="shared" ca="1" si="8"/>
        <v/>
      </c>
    </row>
    <row r="152" spans="1:11" x14ac:dyDescent="0.25">
      <c r="A152" s="60">
        <v>116</v>
      </c>
      <c r="B152" s="86" t="str" cm="1">
        <f t="array" aca="1" ref="B15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116),"")</f>
        <v/>
      </c>
      <c r="C152" s="86" t="str" cm="1">
        <f t="array" aca="1" ref="C152" ca="1">IF(B152="","",IF(INDIRECT("'"&amp;$Q$3&amp;"'!"&amp;$Q$6&amp;(B152+1))=1,"ON","OFF"))</f>
        <v/>
      </c>
      <c r="D152" s="87" t="str" cm="1">
        <f t="array" aca="1" ref="D152" ca="1">IF(B152="","",IFERROR((INDIRECT("'"&amp;$Q$3&amp;"'!A"&amp;(B152+1))-INDIRECT("'"&amp;$Q$3&amp;"'!A2"))*86400,""))</f>
        <v/>
      </c>
      <c r="E152" s="88" t="str">
        <f t="shared" ca="1" si="7"/>
        <v/>
      </c>
      <c r="G152" s="60">
        <v>116</v>
      </c>
      <c r="H152" s="86" t="str" cm="1">
        <f t="array" aca="1" ref="H15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116),"")</f>
        <v/>
      </c>
      <c r="I152" s="86" t="str" cm="1">
        <f t="array" aca="1" ref="I152" ca="1">IF(H152="","",IF(INDIRECT("'"&amp;$Q$3&amp;"'!"&amp;$Q$7&amp;(H152+1))=1,"ON","OFF"))</f>
        <v/>
      </c>
      <c r="J152" s="87" t="str" cm="1">
        <f t="array" aca="1" ref="J152" ca="1">IF(H152="","",IFERROR((INDIRECT("'"&amp;$Q$3&amp;"'!A"&amp;(H152+1))-INDIRECT("'"&amp;$Q$3&amp;"'!A2"))*86400,""))</f>
        <v/>
      </c>
      <c r="K152" s="88" t="str">
        <f t="shared" ca="1" si="8"/>
        <v/>
      </c>
    </row>
    <row r="153" spans="1:11" x14ac:dyDescent="0.25">
      <c r="A153" s="60">
        <v>117</v>
      </c>
      <c r="B153" s="86" t="str" cm="1">
        <f t="array" aca="1" ref="B15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117),"")</f>
        <v/>
      </c>
      <c r="C153" s="86" t="str" cm="1">
        <f t="array" aca="1" ref="C153" ca="1">IF(B153="","",IF(INDIRECT("'"&amp;$Q$3&amp;"'!"&amp;$Q$6&amp;(B153+1))=1,"ON","OFF"))</f>
        <v/>
      </c>
      <c r="D153" s="87" t="str" cm="1">
        <f t="array" aca="1" ref="D153" ca="1">IF(B153="","",IFERROR((INDIRECT("'"&amp;$Q$3&amp;"'!A"&amp;(B153+1))-INDIRECT("'"&amp;$Q$3&amp;"'!A2"))*86400,""))</f>
        <v/>
      </c>
      <c r="E153" s="88" t="str">
        <f t="shared" ca="1" si="7"/>
        <v/>
      </c>
      <c r="G153" s="60">
        <v>117</v>
      </c>
      <c r="H153" s="86" t="str" cm="1">
        <f t="array" aca="1" ref="H15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117),"")</f>
        <v/>
      </c>
      <c r="I153" s="86" t="str" cm="1">
        <f t="array" aca="1" ref="I153" ca="1">IF(H153="","",IF(INDIRECT("'"&amp;$Q$3&amp;"'!"&amp;$Q$7&amp;(H153+1))=1,"ON","OFF"))</f>
        <v/>
      </c>
      <c r="J153" s="87" t="str" cm="1">
        <f t="array" aca="1" ref="J153" ca="1">IF(H153="","",IFERROR((INDIRECT("'"&amp;$Q$3&amp;"'!A"&amp;(H153+1))-INDIRECT("'"&amp;$Q$3&amp;"'!A2"))*86400,""))</f>
        <v/>
      </c>
      <c r="K153" s="88" t="str">
        <f t="shared" ca="1" si="8"/>
        <v/>
      </c>
    </row>
    <row r="154" spans="1:11" x14ac:dyDescent="0.25">
      <c r="A154" s="60">
        <v>118</v>
      </c>
      <c r="B154" s="86" t="str" cm="1">
        <f t="array" aca="1" ref="B15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118),"")</f>
        <v/>
      </c>
      <c r="C154" s="86" t="str" cm="1">
        <f t="array" aca="1" ref="C154" ca="1">IF(B154="","",IF(INDIRECT("'"&amp;$Q$3&amp;"'!"&amp;$Q$6&amp;(B154+1))=1,"ON","OFF"))</f>
        <v/>
      </c>
      <c r="D154" s="87" t="str" cm="1">
        <f t="array" aca="1" ref="D154" ca="1">IF(B154="","",IFERROR((INDIRECT("'"&amp;$Q$3&amp;"'!A"&amp;(B154+1))-INDIRECT("'"&amp;$Q$3&amp;"'!A2"))*86400,""))</f>
        <v/>
      </c>
      <c r="E154" s="88" t="str">
        <f t="shared" ca="1" si="7"/>
        <v/>
      </c>
      <c r="G154" s="60">
        <v>118</v>
      </c>
      <c r="H154" s="86" t="str" cm="1">
        <f t="array" aca="1" ref="H15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118),"")</f>
        <v/>
      </c>
      <c r="I154" s="86" t="str" cm="1">
        <f t="array" aca="1" ref="I154" ca="1">IF(H154="","",IF(INDIRECT("'"&amp;$Q$3&amp;"'!"&amp;$Q$7&amp;(H154+1))=1,"ON","OFF"))</f>
        <v/>
      </c>
      <c r="J154" s="87" t="str" cm="1">
        <f t="array" aca="1" ref="J154" ca="1">IF(H154="","",IFERROR((INDIRECT("'"&amp;$Q$3&amp;"'!A"&amp;(H154+1))-INDIRECT("'"&amp;$Q$3&amp;"'!A2"))*86400,""))</f>
        <v/>
      </c>
      <c r="K154" s="88" t="str">
        <f t="shared" ca="1" si="8"/>
        <v/>
      </c>
    </row>
    <row r="155" spans="1:11" x14ac:dyDescent="0.25">
      <c r="A155" s="60">
        <v>119</v>
      </c>
      <c r="B155" s="86" t="str" cm="1">
        <f t="array" aca="1" ref="B15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119),"")</f>
        <v/>
      </c>
      <c r="C155" s="86" t="str" cm="1">
        <f t="array" aca="1" ref="C155" ca="1">IF(B155="","",IF(INDIRECT("'"&amp;$Q$3&amp;"'!"&amp;$Q$6&amp;(B155+1))=1,"ON","OFF"))</f>
        <v/>
      </c>
      <c r="D155" s="87" t="str" cm="1">
        <f t="array" aca="1" ref="D155" ca="1">IF(B155="","",IFERROR((INDIRECT("'"&amp;$Q$3&amp;"'!A"&amp;(B155+1))-INDIRECT("'"&amp;$Q$3&amp;"'!A2"))*86400,""))</f>
        <v/>
      </c>
      <c r="E155" s="88" t="str">
        <f t="shared" ca="1" si="7"/>
        <v/>
      </c>
      <c r="G155" s="60">
        <v>119</v>
      </c>
      <c r="H155" s="86" t="str" cm="1">
        <f t="array" aca="1" ref="H15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119),"")</f>
        <v/>
      </c>
      <c r="I155" s="86" t="str" cm="1">
        <f t="array" aca="1" ref="I155" ca="1">IF(H155="","",IF(INDIRECT("'"&amp;$Q$3&amp;"'!"&amp;$Q$7&amp;(H155+1))=1,"ON","OFF"))</f>
        <v/>
      </c>
      <c r="J155" s="87" t="str" cm="1">
        <f t="array" aca="1" ref="J155" ca="1">IF(H155="","",IFERROR((INDIRECT("'"&amp;$Q$3&amp;"'!A"&amp;(H155+1))-INDIRECT("'"&amp;$Q$3&amp;"'!A2"))*86400,""))</f>
        <v/>
      </c>
      <c r="K155" s="88" t="str">
        <f t="shared" ca="1" si="8"/>
        <v/>
      </c>
    </row>
    <row r="156" spans="1:11" x14ac:dyDescent="0.25">
      <c r="A156" s="60">
        <v>120</v>
      </c>
      <c r="B156" s="86" t="str" cm="1">
        <f t="array" aca="1" ref="B15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120),"")</f>
        <v/>
      </c>
      <c r="C156" s="86" t="str" cm="1">
        <f t="array" aca="1" ref="C156" ca="1">IF(B156="","",IF(INDIRECT("'"&amp;$Q$3&amp;"'!"&amp;$Q$6&amp;(B156+1))=1,"ON","OFF"))</f>
        <v/>
      </c>
      <c r="D156" s="87" t="str" cm="1">
        <f t="array" aca="1" ref="D156" ca="1">IF(B156="","",IFERROR((INDIRECT("'"&amp;$Q$3&amp;"'!A"&amp;(B156+1))-INDIRECT("'"&amp;$Q$3&amp;"'!A2"))*86400,""))</f>
        <v/>
      </c>
      <c r="E156" s="88" t="str">
        <f t="shared" ca="1" si="7"/>
        <v/>
      </c>
      <c r="G156" s="60">
        <v>120</v>
      </c>
      <c r="H156" s="86" t="str" cm="1">
        <f t="array" aca="1" ref="H15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120),"")</f>
        <v/>
      </c>
      <c r="I156" s="86" t="str" cm="1">
        <f t="array" aca="1" ref="I156" ca="1">IF(H156="","",IF(INDIRECT("'"&amp;$Q$3&amp;"'!"&amp;$Q$7&amp;(H156+1))=1,"ON","OFF"))</f>
        <v/>
      </c>
      <c r="J156" s="87" t="str" cm="1">
        <f t="array" aca="1" ref="J156" ca="1">IF(H156="","",IFERROR((INDIRECT("'"&amp;$Q$3&amp;"'!A"&amp;(H156+1))-INDIRECT("'"&amp;$Q$3&amp;"'!A2"))*86400,""))</f>
        <v/>
      </c>
      <c r="K156" s="88" t="str">
        <f t="shared" ca="1" si="8"/>
        <v/>
      </c>
    </row>
    <row r="157" spans="1:11" x14ac:dyDescent="0.25">
      <c r="A157" s="60">
        <v>121</v>
      </c>
      <c r="B157" s="86" t="str" cm="1">
        <f t="array" aca="1" ref="B15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121),"")</f>
        <v/>
      </c>
      <c r="C157" s="86" t="str" cm="1">
        <f t="array" aca="1" ref="C157" ca="1">IF(B157="","",IF(INDIRECT("'"&amp;$Q$3&amp;"'!"&amp;$Q$6&amp;(B157+1))=1,"ON","OFF"))</f>
        <v/>
      </c>
      <c r="D157" s="87" t="str" cm="1">
        <f t="array" aca="1" ref="D157" ca="1">IF(B157="","",IFERROR((INDIRECT("'"&amp;$Q$3&amp;"'!A"&amp;(B157+1))-INDIRECT("'"&amp;$Q$3&amp;"'!A2"))*86400,""))</f>
        <v/>
      </c>
      <c r="E157" s="88" t="str">
        <f t="shared" ca="1" si="7"/>
        <v/>
      </c>
      <c r="G157" s="60">
        <v>121</v>
      </c>
      <c r="H157" s="86" t="str" cm="1">
        <f t="array" aca="1" ref="H15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121),"")</f>
        <v/>
      </c>
      <c r="I157" s="86" t="str" cm="1">
        <f t="array" aca="1" ref="I157" ca="1">IF(H157="","",IF(INDIRECT("'"&amp;$Q$3&amp;"'!"&amp;$Q$7&amp;(H157+1))=1,"ON","OFF"))</f>
        <v/>
      </c>
      <c r="J157" s="87" t="str" cm="1">
        <f t="array" aca="1" ref="J157" ca="1">IF(H157="","",IFERROR((INDIRECT("'"&amp;$Q$3&amp;"'!A"&amp;(H157+1))-INDIRECT("'"&amp;$Q$3&amp;"'!A2"))*86400,""))</f>
        <v/>
      </c>
      <c r="K157" s="88" t="str">
        <f t="shared" ca="1" si="8"/>
        <v/>
      </c>
    </row>
    <row r="158" spans="1:11" x14ac:dyDescent="0.25">
      <c r="A158" s="60">
        <v>122</v>
      </c>
      <c r="B158" s="86" t="str" cm="1">
        <f t="array" aca="1" ref="B15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122),"")</f>
        <v/>
      </c>
      <c r="C158" s="86" t="str" cm="1">
        <f t="array" aca="1" ref="C158" ca="1">IF(B158="","",IF(INDIRECT("'"&amp;$Q$3&amp;"'!"&amp;$Q$6&amp;(B158+1))=1,"ON","OFF"))</f>
        <v/>
      </c>
      <c r="D158" s="87" t="str" cm="1">
        <f t="array" aca="1" ref="D158" ca="1">IF(B158="","",IFERROR((INDIRECT("'"&amp;$Q$3&amp;"'!A"&amp;(B158+1))-INDIRECT("'"&amp;$Q$3&amp;"'!A2"))*86400,""))</f>
        <v/>
      </c>
      <c r="E158" s="88" t="str">
        <f t="shared" ca="1" si="7"/>
        <v/>
      </c>
      <c r="G158" s="60">
        <v>122</v>
      </c>
      <c r="H158" s="86" t="str" cm="1">
        <f t="array" aca="1" ref="H15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122),"")</f>
        <v/>
      </c>
      <c r="I158" s="86" t="str" cm="1">
        <f t="array" aca="1" ref="I158" ca="1">IF(H158="","",IF(INDIRECT("'"&amp;$Q$3&amp;"'!"&amp;$Q$7&amp;(H158+1))=1,"ON","OFF"))</f>
        <v/>
      </c>
      <c r="J158" s="87" t="str" cm="1">
        <f t="array" aca="1" ref="J158" ca="1">IF(H158="","",IFERROR((INDIRECT("'"&amp;$Q$3&amp;"'!A"&amp;(H158+1))-INDIRECT("'"&amp;$Q$3&amp;"'!A2"))*86400,""))</f>
        <v/>
      </c>
      <c r="K158" s="88" t="str">
        <f t="shared" ca="1" si="8"/>
        <v/>
      </c>
    </row>
    <row r="159" spans="1:11" x14ac:dyDescent="0.25">
      <c r="A159" s="60">
        <v>123</v>
      </c>
      <c r="B159" s="86" t="str" cm="1">
        <f t="array" aca="1" ref="B15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123),"")</f>
        <v/>
      </c>
      <c r="C159" s="86" t="str" cm="1">
        <f t="array" aca="1" ref="C159" ca="1">IF(B159="","",IF(INDIRECT("'"&amp;$Q$3&amp;"'!"&amp;$Q$6&amp;(B159+1))=1,"ON","OFF"))</f>
        <v/>
      </c>
      <c r="D159" s="87" t="str" cm="1">
        <f t="array" aca="1" ref="D159" ca="1">IF(B159="","",IFERROR((INDIRECT("'"&amp;$Q$3&amp;"'!A"&amp;(B159+1))-INDIRECT("'"&amp;$Q$3&amp;"'!A2"))*86400,""))</f>
        <v/>
      </c>
      <c r="E159" s="88" t="str">
        <f t="shared" ca="1" si="7"/>
        <v/>
      </c>
      <c r="G159" s="60">
        <v>123</v>
      </c>
      <c r="H159" s="86" t="str" cm="1">
        <f t="array" aca="1" ref="H15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123),"")</f>
        <v/>
      </c>
      <c r="I159" s="86" t="str" cm="1">
        <f t="array" aca="1" ref="I159" ca="1">IF(H159="","",IF(INDIRECT("'"&amp;$Q$3&amp;"'!"&amp;$Q$7&amp;(H159+1))=1,"ON","OFF"))</f>
        <v/>
      </c>
      <c r="J159" s="87" t="str" cm="1">
        <f t="array" aca="1" ref="J159" ca="1">IF(H159="","",IFERROR((INDIRECT("'"&amp;$Q$3&amp;"'!A"&amp;(H159+1))-INDIRECT("'"&amp;$Q$3&amp;"'!A2"))*86400,""))</f>
        <v/>
      </c>
      <c r="K159" s="88" t="str">
        <f t="shared" ca="1" si="8"/>
        <v/>
      </c>
    </row>
    <row r="160" spans="1:11" x14ac:dyDescent="0.25">
      <c r="A160" s="60">
        <v>124</v>
      </c>
      <c r="B160" s="86" t="str" cm="1">
        <f t="array" aca="1" ref="B16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124),"")</f>
        <v/>
      </c>
      <c r="C160" s="86" t="str" cm="1">
        <f t="array" aca="1" ref="C160" ca="1">IF(B160="","",IF(INDIRECT("'"&amp;$Q$3&amp;"'!"&amp;$Q$6&amp;(B160+1))=1,"ON","OFF"))</f>
        <v/>
      </c>
      <c r="D160" s="87" t="str" cm="1">
        <f t="array" aca="1" ref="D160" ca="1">IF(B160="","",IFERROR((INDIRECT("'"&amp;$Q$3&amp;"'!A"&amp;(B160+1))-INDIRECT("'"&amp;$Q$3&amp;"'!A2"))*86400,""))</f>
        <v/>
      </c>
      <c r="E160" s="88" t="str">
        <f t="shared" ca="1" si="7"/>
        <v/>
      </c>
      <c r="G160" s="60">
        <v>124</v>
      </c>
      <c r="H160" s="86" t="str" cm="1">
        <f t="array" aca="1" ref="H16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124),"")</f>
        <v/>
      </c>
      <c r="I160" s="86" t="str" cm="1">
        <f t="array" aca="1" ref="I160" ca="1">IF(H160="","",IF(INDIRECT("'"&amp;$Q$3&amp;"'!"&amp;$Q$7&amp;(H160+1))=1,"ON","OFF"))</f>
        <v/>
      </c>
      <c r="J160" s="87" t="str" cm="1">
        <f t="array" aca="1" ref="J160" ca="1">IF(H160="","",IFERROR((INDIRECT("'"&amp;$Q$3&amp;"'!A"&amp;(H160+1))-INDIRECT("'"&amp;$Q$3&amp;"'!A2"))*86400,""))</f>
        <v/>
      </c>
      <c r="K160" s="88" t="str">
        <f t="shared" ca="1" si="8"/>
        <v/>
      </c>
    </row>
    <row r="161" spans="1:11" x14ac:dyDescent="0.25">
      <c r="A161" s="60">
        <v>125</v>
      </c>
      <c r="B161" s="86" t="str" cm="1">
        <f t="array" aca="1" ref="B16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125),"")</f>
        <v/>
      </c>
      <c r="C161" s="86" t="str" cm="1">
        <f t="array" aca="1" ref="C161" ca="1">IF(B161="","",IF(INDIRECT("'"&amp;$Q$3&amp;"'!"&amp;$Q$6&amp;(B161+1))=1,"ON","OFF"))</f>
        <v/>
      </c>
      <c r="D161" s="87" t="str" cm="1">
        <f t="array" aca="1" ref="D161" ca="1">IF(B161="","",IFERROR((INDIRECT("'"&amp;$Q$3&amp;"'!A"&amp;(B161+1))-INDIRECT("'"&amp;$Q$3&amp;"'!A2"))*86400,""))</f>
        <v/>
      </c>
      <c r="E161" s="88" t="str">
        <f t="shared" ca="1" si="7"/>
        <v/>
      </c>
      <c r="G161" s="60">
        <v>125</v>
      </c>
      <c r="H161" s="86" t="str" cm="1">
        <f t="array" aca="1" ref="H16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125),"")</f>
        <v/>
      </c>
      <c r="I161" s="86" t="str" cm="1">
        <f t="array" aca="1" ref="I161" ca="1">IF(H161="","",IF(INDIRECT("'"&amp;$Q$3&amp;"'!"&amp;$Q$7&amp;(H161+1))=1,"ON","OFF"))</f>
        <v/>
      </c>
      <c r="J161" s="87" t="str" cm="1">
        <f t="array" aca="1" ref="J161" ca="1">IF(H161="","",IFERROR((INDIRECT("'"&amp;$Q$3&amp;"'!A"&amp;(H161+1))-INDIRECT("'"&amp;$Q$3&amp;"'!A2"))*86400,""))</f>
        <v/>
      </c>
      <c r="K161" s="88" t="str">
        <f t="shared" ca="1" si="8"/>
        <v/>
      </c>
    </row>
    <row r="162" spans="1:11" x14ac:dyDescent="0.25">
      <c r="A162" s="60">
        <v>126</v>
      </c>
      <c r="B162" s="86" t="str" cm="1">
        <f t="array" aca="1" ref="B16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126),"")</f>
        <v/>
      </c>
      <c r="C162" s="86" t="str" cm="1">
        <f t="array" aca="1" ref="C162" ca="1">IF(B162="","",IF(INDIRECT("'"&amp;$Q$3&amp;"'!"&amp;$Q$6&amp;(B162+1))=1,"ON","OFF"))</f>
        <v/>
      </c>
      <c r="D162" s="87" t="str" cm="1">
        <f t="array" aca="1" ref="D162" ca="1">IF(B162="","",IFERROR((INDIRECT("'"&amp;$Q$3&amp;"'!A"&amp;(B162+1))-INDIRECT("'"&amp;$Q$3&amp;"'!A2"))*86400,""))</f>
        <v/>
      </c>
      <c r="E162" s="88" t="str">
        <f t="shared" ca="1" si="7"/>
        <v/>
      </c>
      <c r="G162" s="60">
        <v>126</v>
      </c>
      <c r="H162" s="86" t="str" cm="1">
        <f t="array" aca="1" ref="H16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126),"")</f>
        <v/>
      </c>
      <c r="I162" s="86" t="str" cm="1">
        <f t="array" aca="1" ref="I162" ca="1">IF(H162="","",IF(INDIRECT("'"&amp;$Q$3&amp;"'!"&amp;$Q$7&amp;(H162+1))=1,"ON","OFF"))</f>
        <v/>
      </c>
      <c r="J162" s="87" t="str" cm="1">
        <f t="array" aca="1" ref="J162" ca="1">IF(H162="","",IFERROR((INDIRECT("'"&amp;$Q$3&amp;"'!A"&amp;(H162+1))-INDIRECT("'"&amp;$Q$3&amp;"'!A2"))*86400,""))</f>
        <v/>
      </c>
      <c r="K162" s="88" t="str">
        <f t="shared" ca="1" si="8"/>
        <v/>
      </c>
    </row>
    <row r="163" spans="1:11" x14ac:dyDescent="0.25">
      <c r="A163" s="60">
        <v>127</v>
      </c>
      <c r="B163" s="86" t="str" cm="1">
        <f t="array" aca="1" ref="B16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127),"")</f>
        <v/>
      </c>
      <c r="C163" s="86" t="str" cm="1">
        <f t="array" aca="1" ref="C163" ca="1">IF(B163="","",IF(INDIRECT("'"&amp;$Q$3&amp;"'!"&amp;$Q$6&amp;(B163+1))=1,"ON","OFF"))</f>
        <v/>
      </c>
      <c r="D163" s="87" t="str" cm="1">
        <f t="array" aca="1" ref="D163" ca="1">IF(B163="","",IFERROR((INDIRECT("'"&amp;$Q$3&amp;"'!A"&amp;(B163+1))-INDIRECT("'"&amp;$Q$3&amp;"'!A2"))*86400,""))</f>
        <v/>
      </c>
      <c r="E163" s="88" t="str">
        <f t="shared" ca="1" si="7"/>
        <v/>
      </c>
      <c r="G163" s="60">
        <v>127</v>
      </c>
      <c r="H163" s="86" t="str" cm="1">
        <f t="array" aca="1" ref="H16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127),"")</f>
        <v/>
      </c>
      <c r="I163" s="86" t="str" cm="1">
        <f t="array" aca="1" ref="I163" ca="1">IF(H163="","",IF(INDIRECT("'"&amp;$Q$3&amp;"'!"&amp;$Q$7&amp;(H163+1))=1,"ON","OFF"))</f>
        <v/>
      </c>
      <c r="J163" s="87" t="str" cm="1">
        <f t="array" aca="1" ref="J163" ca="1">IF(H163="","",IFERROR((INDIRECT("'"&amp;$Q$3&amp;"'!A"&amp;(H163+1))-INDIRECT("'"&amp;$Q$3&amp;"'!A2"))*86400,""))</f>
        <v/>
      </c>
      <c r="K163" s="88" t="str">
        <f t="shared" ca="1" si="8"/>
        <v/>
      </c>
    </row>
    <row r="164" spans="1:11" x14ac:dyDescent="0.25">
      <c r="A164" s="60">
        <v>128</v>
      </c>
      <c r="B164" s="86" t="str" cm="1">
        <f t="array" aca="1" ref="B16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128),"")</f>
        <v/>
      </c>
      <c r="C164" s="86" t="str" cm="1">
        <f t="array" aca="1" ref="C164" ca="1">IF(B164="","",IF(INDIRECT("'"&amp;$Q$3&amp;"'!"&amp;$Q$6&amp;(B164+1))=1,"ON","OFF"))</f>
        <v/>
      </c>
      <c r="D164" s="87" t="str" cm="1">
        <f t="array" aca="1" ref="D164" ca="1">IF(B164="","",IFERROR((INDIRECT("'"&amp;$Q$3&amp;"'!A"&amp;(B164+1))-INDIRECT("'"&amp;$Q$3&amp;"'!A2"))*86400,""))</f>
        <v/>
      </c>
      <c r="E164" s="88" t="str">
        <f t="shared" ca="1" si="7"/>
        <v/>
      </c>
      <c r="G164" s="60">
        <v>128</v>
      </c>
      <c r="H164" s="86" t="str" cm="1">
        <f t="array" aca="1" ref="H16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128),"")</f>
        <v/>
      </c>
      <c r="I164" s="86" t="str" cm="1">
        <f t="array" aca="1" ref="I164" ca="1">IF(H164="","",IF(INDIRECT("'"&amp;$Q$3&amp;"'!"&amp;$Q$7&amp;(H164+1))=1,"ON","OFF"))</f>
        <v/>
      </c>
      <c r="J164" s="87" t="str" cm="1">
        <f t="array" aca="1" ref="J164" ca="1">IF(H164="","",IFERROR((INDIRECT("'"&amp;$Q$3&amp;"'!A"&amp;(H164+1))-INDIRECT("'"&amp;$Q$3&amp;"'!A2"))*86400,""))</f>
        <v/>
      </c>
      <c r="K164" s="88" t="str">
        <f t="shared" ca="1" si="8"/>
        <v/>
      </c>
    </row>
    <row r="165" spans="1:11" x14ac:dyDescent="0.25">
      <c r="A165" s="60">
        <v>129</v>
      </c>
      <c r="B165" s="86" t="str" cm="1">
        <f t="array" aca="1" ref="B16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129),"")</f>
        <v/>
      </c>
      <c r="C165" s="86" t="str" cm="1">
        <f t="array" aca="1" ref="C165" ca="1">IF(B165="","",IF(INDIRECT("'"&amp;$Q$3&amp;"'!"&amp;$Q$6&amp;(B165+1))=1,"ON","OFF"))</f>
        <v/>
      </c>
      <c r="D165" s="87" t="str" cm="1">
        <f t="array" aca="1" ref="D165" ca="1">IF(B165="","",IFERROR((INDIRECT("'"&amp;$Q$3&amp;"'!A"&amp;(B165+1))-INDIRECT("'"&amp;$Q$3&amp;"'!A2"))*86400,""))</f>
        <v/>
      </c>
      <c r="E165" s="88" t="str">
        <f t="shared" ref="E165:E196" ca="1" si="9">IF(OR(B165="",B166=""),"",ROUND((D166-D165)*1000,0))</f>
        <v/>
      </c>
      <c r="G165" s="60">
        <v>129</v>
      </c>
      <c r="H165" s="86" t="str" cm="1">
        <f t="array" aca="1" ref="H16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129),"")</f>
        <v/>
      </c>
      <c r="I165" s="86" t="str" cm="1">
        <f t="array" aca="1" ref="I165" ca="1">IF(H165="","",IF(INDIRECT("'"&amp;$Q$3&amp;"'!"&amp;$Q$7&amp;(H165+1))=1,"ON","OFF"))</f>
        <v/>
      </c>
      <c r="J165" s="87" t="str" cm="1">
        <f t="array" aca="1" ref="J165" ca="1">IF(H165="","",IFERROR((INDIRECT("'"&amp;$Q$3&amp;"'!A"&amp;(H165+1))-INDIRECT("'"&amp;$Q$3&amp;"'!A2"))*86400,""))</f>
        <v/>
      </c>
      <c r="K165" s="88" t="str">
        <f t="shared" ref="K165:K196" ca="1" si="10">IF(OR(H165="",H166=""),"",ROUND((J166-J165)*1000,0))</f>
        <v/>
      </c>
    </row>
    <row r="166" spans="1:11" x14ac:dyDescent="0.25">
      <c r="A166" s="60">
        <v>130</v>
      </c>
      <c r="B166" s="86" t="str" cm="1">
        <f t="array" aca="1" ref="B16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130),"")</f>
        <v/>
      </c>
      <c r="C166" s="86" t="str" cm="1">
        <f t="array" aca="1" ref="C166" ca="1">IF(B166="","",IF(INDIRECT("'"&amp;$Q$3&amp;"'!"&amp;$Q$6&amp;(B166+1))=1,"ON","OFF"))</f>
        <v/>
      </c>
      <c r="D166" s="87" t="str" cm="1">
        <f t="array" aca="1" ref="D166" ca="1">IF(B166="","",IFERROR((INDIRECT("'"&amp;$Q$3&amp;"'!A"&amp;(B166+1))-INDIRECT("'"&amp;$Q$3&amp;"'!A2"))*86400,""))</f>
        <v/>
      </c>
      <c r="E166" s="88" t="str">
        <f t="shared" ca="1" si="9"/>
        <v/>
      </c>
      <c r="G166" s="60">
        <v>130</v>
      </c>
      <c r="H166" s="86" t="str" cm="1">
        <f t="array" aca="1" ref="H16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130),"")</f>
        <v/>
      </c>
      <c r="I166" s="86" t="str" cm="1">
        <f t="array" aca="1" ref="I166" ca="1">IF(H166="","",IF(INDIRECT("'"&amp;$Q$3&amp;"'!"&amp;$Q$7&amp;(H166+1))=1,"ON","OFF"))</f>
        <v/>
      </c>
      <c r="J166" s="87" t="str" cm="1">
        <f t="array" aca="1" ref="J166" ca="1">IF(H166="","",IFERROR((INDIRECT("'"&amp;$Q$3&amp;"'!A"&amp;(H166+1))-INDIRECT("'"&amp;$Q$3&amp;"'!A2"))*86400,""))</f>
        <v/>
      </c>
      <c r="K166" s="88" t="str">
        <f t="shared" ca="1" si="10"/>
        <v/>
      </c>
    </row>
    <row r="167" spans="1:11" x14ac:dyDescent="0.25">
      <c r="A167" s="60">
        <v>131</v>
      </c>
      <c r="B167" s="86" t="str" cm="1">
        <f t="array" aca="1" ref="B16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131),"")</f>
        <v/>
      </c>
      <c r="C167" s="86" t="str" cm="1">
        <f t="array" aca="1" ref="C167" ca="1">IF(B167="","",IF(INDIRECT("'"&amp;$Q$3&amp;"'!"&amp;$Q$6&amp;(B167+1))=1,"ON","OFF"))</f>
        <v/>
      </c>
      <c r="D167" s="87" t="str" cm="1">
        <f t="array" aca="1" ref="D167" ca="1">IF(B167="","",IFERROR((INDIRECT("'"&amp;$Q$3&amp;"'!A"&amp;(B167+1))-INDIRECT("'"&amp;$Q$3&amp;"'!A2"))*86400,""))</f>
        <v/>
      </c>
      <c r="E167" s="88" t="str">
        <f t="shared" ca="1" si="9"/>
        <v/>
      </c>
      <c r="G167" s="60">
        <v>131</v>
      </c>
      <c r="H167" s="86" t="str" cm="1">
        <f t="array" aca="1" ref="H16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131),"")</f>
        <v/>
      </c>
      <c r="I167" s="86" t="str" cm="1">
        <f t="array" aca="1" ref="I167" ca="1">IF(H167="","",IF(INDIRECT("'"&amp;$Q$3&amp;"'!"&amp;$Q$7&amp;(H167+1))=1,"ON","OFF"))</f>
        <v/>
      </c>
      <c r="J167" s="87" t="str" cm="1">
        <f t="array" aca="1" ref="J167" ca="1">IF(H167="","",IFERROR((INDIRECT("'"&amp;$Q$3&amp;"'!A"&amp;(H167+1))-INDIRECT("'"&amp;$Q$3&amp;"'!A2"))*86400,""))</f>
        <v/>
      </c>
      <c r="K167" s="88" t="str">
        <f t="shared" ca="1" si="10"/>
        <v/>
      </c>
    </row>
    <row r="168" spans="1:11" x14ac:dyDescent="0.25">
      <c r="A168" s="60">
        <v>132</v>
      </c>
      <c r="B168" s="86" t="str" cm="1">
        <f t="array" aca="1" ref="B16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132),"")</f>
        <v/>
      </c>
      <c r="C168" s="86" t="str" cm="1">
        <f t="array" aca="1" ref="C168" ca="1">IF(B168="","",IF(INDIRECT("'"&amp;$Q$3&amp;"'!"&amp;$Q$6&amp;(B168+1))=1,"ON","OFF"))</f>
        <v/>
      </c>
      <c r="D168" s="87" t="str" cm="1">
        <f t="array" aca="1" ref="D168" ca="1">IF(B168="","",IFERROR((INDIRECT("'"&amp;$Q$3&amp;"'!A"&amp;(B168+1))-INDIRECT("'"&amp;$Q$3&amp;"'!A2"))*86400,""))</f>
        <v/>
      </c>
      <c r="E168" s="88" t="str">
        <f t="shared" ca="1" si="9"/>
        <v/>
      </c>
      <c r="G168" s="60">
        <v>132</v>
      </c>
      <c r="H168" s="86" t="str" cm="1">
        <f t="array" aca="1" ref="H16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132),"")</f>
        <v/>
      </c>
      <c r="I168" s="86" t="str" cm="1">
        <f t="array" aca="1" ref="I168" ca="1">IF(H168="","",IF(INDIRECT("'"&amp;$Q$3&amp;"'!"&amp;$Q$7&amp;(H168+1))=1,"ON","OFF"))</f>
        <v/>
      </c>
      <c r="J168" s="87" t="str" cm="1">
        <f t="array" aca="1" ref="J168" ca="1">IF(H168="","",IFERROR((INDIRECT("'"&amp;$Q$3&amp;"'!A"&amp;(H168+1))-INDIRECT("'"&amp;$Q$3&amp;"'!A2"))*86400,""))</f>
        <v/>
      </c>
      <c r="K168" s="88" t="str">
        <f t="shared" ca="1" si="10"/>
        <v/>
      </c>
    </row>
    <row r="169" spans="1:11" x14ac:dyDescent="0.25">
      <c r="A169" s="60">
        <v>133</v>
      </c>
      <c r="B169" s="86" t="str" cm="1">
        <f t="array" aca="1" ref="B16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133),"")</f>
        <v/>
      </c>
      <c r="C169" s="86" t="str" cm="1">
        <f t="array" aca="1" ref="C169" ca="1">IF(B169="","",IF(INDIRECT("'"&amp;$Q$3&amp;"'!"&amp;$Q$6&amp;(B169+1))=1,"ON","OFF"))</f>
        <v/>
      </c>
      <c r="D169" s="87" t="str" cm="1">
        <f t="array" aca="1" ref="D169" ca="1">IF(B169="","",IFERROR((INDIRECT("'"&amp;$Q$3&amp;"'!A"&amp;(B169+1))-INDIRECT("'"&amp;$Q$3&amp;"'!A2"))*86400,""))</f>
        <v/>
      </c>
      <c r="E169" s="88" t="str">
        <f t="shared" ca="1" si="9"/>
        <v/>
      </c>
      <c r="G169" s="60">
        <v>133</v>
      </c>
      <c r="H169" s="86" t="str" cm="1">
        <f t="array" aca="1" ref="H16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133),"")</f>
        <v/>
      </c>
      <c r="I169" s="86" t="str" cm="1">
        <f t="array" aca="1" ref="I169" ca="1">IF(H169="","",IF(INDIRECT("'"&amp;$Q$3&amp;"'!"&amp;$Q$7&amp;(H169+1))=1,"ON","OFF"))</f>
        <v/>
      </c>
      <c r="J169" s="87" t="str" cm="1">
        <f t="array" aca="1" ref="J169" ca="1">IF(H169="","",IFERROR((INDIRECT("'"&amp;$Q$3&amp;"'!A"&amp;(H169+1))-INDIRECT("'"&amp;$Q$3&amp;"'!A2"))*86400,""))</f>
        <v/>
      </c>
      <c r="K169" s="88" t="str">
        <f t="shared" ca="1" si="10"/>
        <v/>
      </c>
    </row>
    <row r="170" spans="1:11" x14ac:dyDescent="0.25">
      <c r="A170" s="60">
        <v>134</v>
      </c>
      <c r="B170" s="86" t="str" cm="1">
        <f t="array" aca="1" ref="B17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134),"")</f>
        <v/>
      </c>
      <c r="C170" s="86" t="str" cm="1">
        <f t="array" aca="1" ref="C170" ca="1">IF(B170="","",IF(INDIRECT("'"&amp;$Q$3&amp;"'!"&amp;$Q$6&amp;(B170+1))=1,"ON","OFF"))</f>
        <v/>
      </c>
      <c r="D170" s="87" t="str" cm="1">
        <f t="array" aca="1" ref="D170" ca="1">IF(B170="","",IFERROR((INDIRECT("'"&amp;$Q$3&amp;"'!A"&amp;(B170+1))-INDIRECT("'"&amp;$Q$3&amp;"'!A2"))*86400,""))</f>
        <v/>
      </c>
      <c r="E170" s="88" t="str">
        <f t="shared" ca="1" si="9"/>
        <v/>
      </c>
      <c r="G170" s="60">
        <v>134</v>
      </c>
      <c r="H170" s="86" t="str" cm="1">
        <f t="array" aca="1" ref="H17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134),"")</f>
        <v/>
      </c>
      <c r="I170" s="86" t="str" cm="1">
        <f t="array" aca="1" ref="I170" ca="1">IF(H170="","",IF(INDIRECT("'"&amp;$Q$3&amp;"'!"&amp;$Q$7&amp;(H170+1))=1,"ON","OFF"))</f>
        <v/>
      </c>
      <c r="J170" s="87" t="str" cm="1">
        <f t="array" aca="1" ref="J170" ca="1">IF(H170="","",IFERROR((INDIRECT("'"&amp;$Q$3&amp;"'!A"&amp;(H170+1))-INDIRECT("'"&amp;$Q$3&amp;"'!A2"))*86400,""))</f>
        <v/>
      </c>
      <c r="K170" s="88" t="str">
        <f t="shared" ca="1" si="10"/>
        <v/>
      </c>
    </row>
    <row r="171" spans="1:11" x14ac:dyDescent="0.25">
      <c r="A171" s="60">
        <v>135</v>
      </c>
      <c r="B171" s="86" t="str" cm="1">
        <f t="array" aca="1" ref="B17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135),"")</f>
        <v/>
      </c>
      <c r="C171" s="86" t="str" cm="1">
        <f t="array" aca="1" ref="C171" ca="1">IF(B171="","",IF(INDIRECT("'"&amp;$Q$3&amp;"'!"&amp;$Q$6&amp;(B171+1))=1,"ON","OFF"))</f>
        <v/>
      </c>
      <c r="D171" s="87" t="str" cm="1">
        <f t="array" aca="1" ref="D171" ca="1">IF(B171="","",IFERROR((INDIRECT("'"&amp;$Q$3&amp;"'!A"&amp;(B171+1))-INDIRECT("'"&amp;$Q$3&amp;"'!A2"))*86400,""))</f>
        <v/>
      </c>
      <c r="E171" s="88" t="str">
        <f t="shared" ca="1" si="9"/>
        <v/>
      </c>
      <c r="G171" s="60">
        <v>135</v>
      </c>
      <c r="H171" s="86" t="str" cm="1">
        <f t="array" aca="1" ref="H17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135),"")</f>
        <v/>
      </c>
      <c r="I171" s="86" t="str" cm="1">
        <f t="array" aca="1" ref="I171" ca="1">IF(H171="","",IF(INDIRECT("'"&amp;$Q$3&amp;"'!"&amp;$Q$7&amp;(H171+1))=1,"ON","OFF"))</f>
        <v/>
      </c>
      <c r="J171" s="87" t="str" cm="1">
        <f t="array" aca="1" ref="J171" ca="1">IF(H171="","",IFERROR((INDIRECT("'"&amp;$Q$3&amp;"'!A"&amp;(H171+1))-INDIRECT("'"&amp;$Q$3&amp;"'!A2"))*86400,""))</f>
        <v/>
      </c>
      <c r="K171" s="88" t="str">
        <f t="shared" ca="1" si="10"/>
        <v/>
      </c>
    </row>
    <row r="172" spans="1:11" x14ac:dyDescent="0.25">
      <c r="A172" s="60">
        <v>136</v>
      </c>
      <c r="B172" s="86" t="str" cm="1">
        <f t="array" aca="1" ref="B17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136),"")</f>
        <v/>
      </c>
      <c r="C172" s="86" t="str" cm="1">
        <f t="array" aca="1" ref="C172" ca="1">IF(B172="","",IF(INDIRECT("'"&amp;$Q$3&amp;"'!"&amp;$Q$6&amp;(B172+1))=1,"ON","OFF"))</f>
        <v/>
      </c>
      <c r="D172" s="87" t="str" cm="1">
        <f t="array" aca="1" ref="D172" ca="1">IF(B172="","",IFERROR((INDIRECT("'"&amp;$Q$3&amp;"'!A"&amp;(B172+1))-INDIRECT("'"&amp;$Q$3&amp;"'!A2"))*86400,""))</f>
        <v/>
      </c>
      <c r="E172" s="88" t="str">
        <f t="shared" ca="1" si="9"/>
        <v/>
      </c>
      <c r="G172" s="60">
        <v>136</v>
      </c>
      <c r="H172" s="86" t="str" cm="1">
        <f t="array" aca="1" ref="H17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136),"")</f>
        <v/>
      </c>
      <c r="I172" s="86" t="str" cm="1">
        <f t="array" aca="1" ref="I172" ca="1">IF(H172="","",IF(INDIRECT("'"&amp;$Q$3&amp;"'!"&amp;$Q$7&amp;(H172+1))=1,"ON","OFF"))</f>
        <v/>
      </c>
      <c r="J172" s="87" t="str" cm="1">
        <f t="array" aca="1" ref="J172" ca="1">IF(H172="","",IFERROR((INDIRECT("'"&amp;$Q$3&amp;"'!A"&amp;(H172+1))-INDIRECT("'"&amp;$Q$3&amp;"'!A2"))*86400,""))</f>
        <v/>
      </c>
      <c r="K172" s="88" t="str">
        <f t="shared" ca="1" si="10"/>
        <v/>
      </c>
    </row>
    <row r="173" spans="1:11" x14ac:dyDescent="0.25">
      <c r="A173" s="60">
        <v>137</v>
      </c>
      <c r="B173" s="86" t="str" cm="1">
        <f t="array" aca="1" ref="B17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137),"")</f>
        <v/>
      </c>
      <c r="C173" s="86" t="str" cm="1">
        <f t="array" aca="1" ref="C173" ca="1">IF(B173="","",IF(INDIRECT("'"&amp;$Q$3&amp;"'!"&amp;$Q$6&amp;(B173+1))=1,"ON","OFF"))</f>
        <v/>
      </c>
      <c r="D173" s="87" t="str" cm="1">
        <f t="array" aca="1" ref="D173" ca="1">IF(B173="","",IFERROR((INDIRECT("'"&amp;$Q$3&amp;"'!A"&amp;(B173+1))-INDIRECT("'"&amp;$Q$3&amp;"'!A2"))*86400,""))</f>
        <v/>
      </c>
      <c r="E173" s="88" t="str">
        <f t="shared" ca="1" si="9"/>
        <v/>
      </c>
      <c r="G173" s="60">
        <v>137</v>
      </c>
      <c r="H173" s="86" t="str" cm="1">
        <f t="array" aca="1" ref="H17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137),"")</f>
        <v/>
      </c>
      <c r="I173" s="86" t="str" cm="1">
        <f t="array" aca="1" ref="I173" ca="1">IF(H173="","",IF(INDIRECT("'"&amp;$Q$3&amp;"'!"&amp;$Q$7&amp;(H173+1))=1,"ON","OFF"))</f>
        <v/>
      </c>
      <c r="J173" s="87" t="str" cm="1">
        <f t="array" aca="1" ref="J173" ca="1">IF(H173="","",IFERROR((INDIRECT("'"&amp;$Q$3&amp;"'!A"&amp;(H173+1))-INDIRECT("'"&amp;$Q$3&amp;"'!A2"))*86400,""))</f>
        <v/>
      </c>
      <c r="K173" s="88" t="str">
        <f t="shared" ca="1" si="10"/>
        <v/>
      </c>
    </row>
    <row r="174" spans="1:11" x14ac:dyDescent="0.25">
      <c r="A174" s="60">
        <v>138</v>
      </c>
      <c r="B174" s="86" t="str" cm="1">
        <f t="array" aca="1" ref="B17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138),"")</f>
        <v/>
      </c>
      <c r="C174" s="86" t="str" cm="1">
        <f t="array" aca="1" ref="C174" ca="1">IF(B174="","",IF(INDIRECT("'"&amp;$Q$3&amp;"'!"&amp;$Q$6&amp;(B174+1))=1,"ON","OFF"))</f>
        <v/>
      </c>
      <c r="D174" s="87" t="str" cm="1">
        <f t="array" aca="1" ref="D174" ca="1">IF(B174="","",IFERROR((INDIRECT("'"&amp;$Q$3&amp;"'!A"&amp;(B174+1))-INDIRECT("'"&amp;$Q$3&amp;"'!A2"))*86400,""))</f>
        <v/>
      </c>
      <c r="E174" s="88" t="str">
        <f t="shared" ca="1" si="9"/>
        <v/>
      </c>
      <c r="G174" s="60">
        <v>138</v>
      </c>
      <c r="H174" s="86" t="str" cm="1">
        <f t="array" aca="1" ref="H17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138),"")</f>
        <v/>
      </c>
      <c r="I174" s="86" t="str" cm="1">
        <f t="array" aca="1" ref="I174" ca="1">IF(H174="","",IF(INDIRECT("'"&amp;$Q$3&amp;"'!"&amp;$Q$7&amp;(H174+1))=1,"ON","OFF"))</f>
        <v/>
      </c>
      <c r="J174" s="87" t="str" cm="1">
        <f t="array" aca="1" ref="J174" ca="1">IF(H174="","",IFERROR((INDIRECT("'"&amp;$Q$3&amp;"'!A"&amp;(H174+1))-INDIRECT("'"&amp;$Q$3&amp;"'!A2"))*86400,""))</f>
        <v/>
      </c>
      <c r="K174" s="88" t="str">
        <f t="shared" ca="1" si="10"/>
        <v/>
      </c>
    </row>
    <row r="175" spans="1:11" x14ac:dyDescent="0.25">
      <c r="A175" s="60">
        <v>139</v>
      </c>
      <c r="B175" s="86" t="str" cm="1">
        <f t="array" aca="1" ref="B17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139),"")</f>
        <v/>
      </c>
      <c r="C175" s="86" t="str" cm="1">
        <f t="array" aca="1" ref="C175" ca="1">IF(B175="","",IF(INDIRECT("'"&amp;$Q$3&amp;"'!"&amp;$Q$6&amp;(B175+1))=1,"ON","OFF"))</f>
        <v/>
      </c>
      <c r="D175" s="87" t="str" cm="1">
        <f t="array" aca="1" ref="D175" ca="1">IF(B175="","",IFERROR((INDIRECT("'"&amp;$Q$3&amp;"'!A"&amp;(B175+1))-INDIRECT("'"&amp;$Q$3&amp;"'!A2"))*86400,""))</f>
        <v/>
      </c>
      <c r="E175" s="88" t="str">
        <f t="shared" ca="1" si="9"/>
        <v/>
      </c>
      <c r="G175" s="60">
        <v>139</v>
      </c>
      <c r="H175" s="86" t="str" cm="1">
        <f t="array" aca="1" ref="H17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139),"")</f>
        <v/>
      </c>
      <c r="I175" s="86" t="str" cm="1">
        <f t="array" aca="1" ref="I175" ca="1">IF(H175="","",IF(INDIRECT("'"&amp;$Q$3&amp;"'!"&amp;$Q$7&amp;(H175+1))=1,"ON","OFF"))</f>
        <v/>
      </c>
      <c r="J175" s="87" t="str" cm="1">
        <f t="array" aca="1" ref="J175" ca="1">IF(H175="","",IFERROR((INDIRECT("'"&amp;$Q$3&amp;"'!A"&amp;(H175+1))-INDIRECT("'"&amp;$Q$3&amp;"'!A2"))*86400,""))</f>
        <v/>
      </c>
      <c r="K175" s="88" t="str">
        <f t="shared" ca="1" si="10"/>
        <v/>
      </c>
    </row>
    <row r="176" spans="1:11" x14ac:dyDescent="0.25">
      <c r="A176" s="60">
        <v>140</v>
      </c>
      <c r="B176" s="86" t="str" cm="1">
        <f t="array" aca="1" ref="B17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140),"")</f>
        <v/>
      </c>
      <c r="C176" s="86" t="str" cm="1">
        <f t="array" aca="1" ref="C176" ca="1">IF(B176="","",IF(INDIRECT("'"&amp;$Q$3&amp;"'!"&amp;$Q$6&amp;(B176+1))=1,"ON","OFF"))</f>
        <v/>
      </c>
      <c r="D176" s="87" t="str" cm="1">
        <f t="array" aca="1" ref="D176" ca="1">IF(B176="","",IFERROR((INDIRECT("'"&amp;$Q$3&amp;"'!A"&amp;(B176+1))-INDIRECT("'"&amp;$Q$3&amp;"'!A2"))*86400,""))</f>
        <v/>
      </c>
      <c r="E176" s="88" t="str">
        <f t="shared" ca="1" si="9"/>
        <v/>
      </c>
      <c r="G176" s="60">
        <v>140</v>
      </c>
      <c r="H176" s="86" t="str" cm="1">
        <f t="array" aca="1" ref="H17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140),"")</f>
        <v/>
      </c>
      <c r="I176" s="86" t="str" cm="1">
        <f t="array" aca="1" ref="I176" ca="1">IF(H176="","",IF(INDIRECT("'"&amp;$Q$3&amp;"'!"&amp;$Q$7&amp;(H176+1))=1,"ON","OFF"))</f>
        <v/>
      </c>
      <c r="J176" s="87" t="str" cm="1">
        <f t="array" aca="1" ref="J176" ca="1">IF(H176="","",IFERROR((INDIRECT("'"&amp;$Q$3&amp;"'!A"&amp;(H176+1))-INDIRECT("'"&amp;$Q$3&amp;"'!A2"))*86400,""))</f>
        <v/>
      </c>
      <c r="K176" s="88" t="str">
        <f t="shared" ca="1" si="10"/>
        <v/>
      </c>
    </row>
    <row r="177" spans="1:11" x14ac:dyDescent="0.25">
      <c r="A177" s="60">
        <v>141</v>
      </c>
      <c r="B177" s="86" t="str" cm="1">
        <f t="array" aca="1" ref="B17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141),"")</f>
        <v/>
      </c>
      <c r="C177" s="86" t="str" cm="1">
        <f t="array" aca="1" ref="C177" ca="1">IF(B177="","",IF(INDIRECT("'"&amp;$Q$3&amp;"'!"&amp;$Q$6&amp;(B177+1))=1,"ON","OFF"))</f>
        <v/>
      </c>
      <c r="D177" s="87" t="str" cm="1">
        <f t="array" aca="1" ref="D177" ca="1">IF(B177="","",IFERROR((INDIRECT("'"&amp;$Q$3&amp;"'!A"&amp;(B177+1))-INDIRECT("'"&amp;$Q$3&amp;"'!A2"))*86400,""))</f>
        <v/>
      </c>
      <c r="E177" s="88" t="str">
        <f t="shared" ca="1" si="9"/>
        <v/>
      </c>
      <c r="G177" s="60">
        <v>141</v>
      </c>
      <c r="H177" s="86" t="str" cm="1">
        <f t="array" aca="1" ref="H17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141),"")</f>
        <v/>
      </c>
      <c r="I177" s="86" t="str" cm="1">
        <f t="array" aca="1" ref="I177" ca="1">IF(H177="","",IF(INDIRECT("'"&amp;$Q$3&amp;"'!"&amp;$Q$7&amp;(H177+1))=1,"ON","OFF"))</f>
        <v/>
      </c>
      <c r="J177" s="87" t="str" cm="1">
        <f t="array" aca="1" ref="J177" ca="1">IF(H177="","",IFERROR((INDIRECT("'"&amp;$Q$3&amp;"'!A"&amp;(H177+1))-INDIRECT("'"&amp;$Q$3&amp;"'!A2"))*86400,""))</f>
        <v/>
      </c>
      <c r="K177" s="88" t="str">
        <f t="shared" ca="1" si="10"/>
        <v/>
      </c>
    </row>
    <row r="178" spans="1:11" x14ac:dyDescent="0.25">
      <c r="A178" s="60">
        <v>142</v>
      </c>
      <c r="B178" s="86" t="str" cm="1">
        <f t="array" aca="1" ref="B17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142),"")</f>
        <v/>
      </c>
      <c r="C178" s="86" t="str" cm="1">
        <f t="array" aca="1" ref="C178" ca="1">IF(B178="","",IF(INDIRECT("'"&amp;$Q$3&amp;"'!"&amp;$Q$6&amp;(B178+1))=1,"ON","OFF"))</f>
        <v/>
      </c>
      <c r="D178" s="87" t="str" cm="1">
        <f t="array" aca="1" ref="D178" ca="1">IF(B178="","",IFERROR((INDIRECT("'"&amp;$Q$3&amp;"'!A"&amp;(B178+1))-INDIRECT("'"&amp;$Q$3&amp;"'!A2"))*86400,""))</f>
        <v/>
      </c>
      <c r="E178" s="88" t="str">
        <f t="shared" ca="1" si="9"/>
        <v/>
      </c>
      <c r="G178" s="60">
        <v>142</v>
      </c>
      <c r="H178" s="86" t="str" cm="1">
        <f t="array" aca="1" ref="H17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142),"")</f>
        <v/>
      </c>
      <c r="I178" s="86" t="str" cm="1">
        <f t="array" aca="1" ref="I178" ca="1">IF(H178="","",IF(INDIRECT("'"&amp;$Q$3&amp;"'!"&amp;$Q$7&amp;(H178+1))=1,"ON","OFF"))</f>
        <v/>
      </c>
      <c r="J178" s="87" t="str" cm="1">
        <f t="array" aca="1" ref="J178" ca="1">IF(H178="","",IFERROR((INDIRECT("'"&amp;$Q$3&amp;"'!A"&amp;(H178+1))-INDIRECT("'"&amp;$Q$3&amp;"'!A2"))*86400,""))</f>
        <v/>
      </c>
      <c r="K178" s="88" t="str">
        <f t="shared" ca="1" si="10"/>
        <v/>
      </c>
    </row>
    <row r="179" spans="1:11" x14ac:dyDescent="0.25">
      <c r="A179" s="60">
        <v>143</v>
      </c>
      <c r="B179" s="86" t="str" cm="1">
        <f t="array" aca="1" ref="B17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143),"")</f>
        <v/>
      </c>
      <c r="C179" s="86" t="str" cm="1">
        <f t="array" aca="1" ref="C179" ca="1">IF(B179="","",IF(INDIRECT("'"&amp;$Q$3&amp;"'!"&amp;$Q$6&amp;(B179+1))=1,"ON","OFF"))</f>
        <v/>
      </c>
      <c r="D179" s="87" t="str" cm="1">
        <f t="array" aca="1" ref="D179" ca="1">IF(B179="","",IFERROR((INDIRECT("'"&amp;$Q$3&amp;"'!A"&amp;(B179+1))-INDIRECT("'"&amp;$Q$3&amp;"'!A2"))*86400,""))</f>
        <v/>
      </c>
      <c r="E179" s="88" t="str">
        <f t="shared" ca="1" si="9"/>
        <v/>
      </c>
      <c r="G179" s="60">
        <v>143</v>
      </c>
      <c r="H179" s="86" t="str" cm="1">
        <f t="array" aca="1" ref="H17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143),"")</f>
        <v/>
      </c>
      <c r="I179" s="86" t="str" cm="1">
        <f t="array" aca="1" ref="I179" ca="1">IF(H179="","",IF(INDIRECT("'"&amp;$Q$3&amp;"'!"&amp;$Q$7&amp;(H179+1))=1,"ON","OFF"))</f>
        <v/>
      </c>
      <c r="J179" s="87" t="str" cm="1">
        <f t="array" aca="1" ref="J179" ca="1">IF(H179="","",IFERROR((INDIRECT("'"&amp;$Q$3&amp;"'!A"&amp;(H179+1))-INDIRECT("'"&amp;$Q$3&amp;"'!A2"))*86400,""))</f>
        <v/>
      </c>
      <c r="K179" s="88" t="str">
        <f t="shared" ca="1" si="10"/>
        <v/>
      </c>
    </row>
    <row r="180" spans="1:11" x14ac:dyDescent="0.25">
      <c r="A180" s="60">
        <v>144</v>
      </c>
      <c r="B180" s="86" t="str" cm="1">
        <f t="array" aca="1" ref="B18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144),"")</f>
        <v/>
      </c>
      <c r="C180" s="86" t="str" cm="1">
        <f t="array" aca="1" ref="C180" ca="1">IF(B180="","",IF(INDIRECT("'"&amp;$Q$3&amp;"'!"&amp;$Q$6&amp;(B180+1))=1,"ON","OFF"))</f>
        <v/>
      </c>
      <c r="D180" s="87" t="str" cm="1">
        <f t="array" aca="1" ref="D180" ca="1">IF(B180="","",IFERROR((INDIRECT("'"&amp;$Q$3&amp;"'!A"&amp;(B180+1))-INDIRECT("'"&amp;$Q$3&amp;"'!A2"))*86400,""))</f>
        <v/>
      </c>
      <c r="E180" s="88" t="str">
        <f t="shared" ca="1" si="9"/>
        <v/>
      </c>
      <c r="G180" s="60">
        <v>144</v>
      </c>
      <c r="H180" s="86" t="str" cm="1">
        <f t="array" aca="1" ref="H18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144),"")</f>
        <v/>
      </c>
      <c r="I180" s="86" t="str" cm="1">
        <f t="array" aca="1" ref="I180" ca="1">IF(H180="","",IF(INDIRECT("'"&amp;$Q$3&amp;"'!"&amp;$Q$7&amp;(H180+1))=1,"ON","OFF"))</f>
        <v/>
      </c>
      <c r="J180" s="87" t="str" cm="1">
        <f t="array" aca="1" ref="J180" ca="1">IF(H180="","",IFERROR((INDIRECT("'"&amp;$Q$3&amp;"'!A"&amp;(H180+1))-INDIRECT("'"&amp;$Q$3&amp;"'!A2"))*86400,""))</f>
        <v/>
      </c>
      <c r="K180" s="88" t="str">
        <f t="shared" ca="1" si="10"/>
        <v/>
      </c>
    </row>
    <row r="181" spans="1:11" x14ac:dyDescent="0.25">
      <c r="A181" s="60">
        <v>145</v>
      </c>
      <c r="B181" s="86" t="str" cm="1">
        <f t="array" aca="1" ref="B18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145),"")</f>
        <v/>
      </c>
      <c r="C181" s="86" t="str" cm="1">
        <f t="array" aca="1" ref="C181" ca="1">IF(B181="","",IF(INDIRECT("'"&amp;$Q$3&amp;"'!"&amp;$Q$6&amp;(B181+1))=1,"ON","OFF"))</f>
        <v/>
      </c>
      <c r="D181" s="87" t="str" cm="1">
        <f t="array" aca="1" ref="D181" ca="1">IF(B181="","",IFERROR((INDIRECT("'"&amp;$Q$3&amp;"'!A"&amp;(B181+1))-INDIRECT("'"&amp;$Q$3&amp;"'!A2"))*86400,""))</f>
        <v/>
      </c>
      <c r="E181" s="88" t="str">
        <f t="shared" ca="1" si="9"/>
        <v/>
      </c>
      <c r="G181" s="60">
        <v>145</v>
      </c>
      <c r="H181" s="86" t="str" cm="1">
        <f t="array" aca="1" ref="H18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145),"")</f>
        <v/>
      </c>
      <c r="I181" s="86" t="str" cm="1">
        <f t="array" aca="1" ref="I181" ca="1">IF(H181="","",IF(INDIRECT("'"&amp;$Q$3&amp;"'!"&amp;$Q$7&amp;(H181+1))=1,"ON","OFF"))</f>
        <v/>
      </c>
      <c r="J181" s="87" t="str" cm="1">
        <f t="array" aca="1" ref="J181" ca="1">IF(H181="","",IFERROR((INDIRECT("'"&amp;$Q$3&amp;"'!A"&amp;(H181+1))-INDIRECT("'"&amp;$Q$3&amp;"'!A2"))*86400,""))</f>
        <v/>
      </c>
      <c r="K181" s="88" t="str">
        <f t="shared" ca="1" si="10"/>
        <v/>
      </c>
    </row>
    <row r="182" spans="1:11" x14ac:dyDescent="0.25">
      <c r="A182" s="60">
        <v>146</v>
      </c>
      <c r="B182" s="86" t="str" cm="1">
        <f t="array" aca="1" ref="B18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146),"")</f>
        <v/>
      </c>
      <c r="C182" s="86" t="str" cm="1">
        <f t="array" aca="1" ref="C182" ca="1">IF(B182="","",IF(INDIRECT("'"&amp;$Q$3&amp;"'!"&amp;$Q$6&amp;(B182+1))=1,"ON","OFF"))</f>
        <v/>
      </c>
      <c r="D182" s="87" t="str" cm="1">
        <f t="array" aca="1" ref="D182" ca="1">IF(B182="","",IFERROR((INDIRECT("'"&amp;$Q$3&amp;"'!A"&amp;(B182+1))-INDIRECT("'"&amp;$Q$3&amp;"'!A2"))*86400,""))</f>
        <v/>
      </c>
      <c r="E182" s="88" t="str">
        <f t="shared" ca="1" si="9"/>
        <v/>
      </c>
      <c r="G182" s="60">
        <v>146</v>
      </c>
      <c r="H182" s="86" t="str" cm="1">
        <f t="array" aca="1" ref="H18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146),"")</f>
        <v/>
      </c>
      <c r="I182" s="86" t="str" cm="1">
        <f t="array" aca="1" ref="I182" ca="1">IF(H182="","",IF(INDIRECT("'"&amp;$Q$3&amp;"'!"&amp;$Q$7&amp;(H182+1))=1,"ON","OFF"))</f>
        <v/>
      </c>
      <c r="J182" s="87" t="str" cm="1">
        <f t="array" aca="1" ref="J182" ca="1">IF(H182="","",IFERROR((INDIRECT("'"&amp;$Q$3&amp;"'!A"&amp;(H182+1))-INDIRECT("'"&amp;$Q$3&amp;"'!A2"))*86400,""))</f>
        <v/>
      </c>
      <c r="K182" s="88" t="str">
        <f t="shared" ca="1" si="10"/>
        <v/>
      </c>
    </row>
    <row r="183" spans="1:11" x14ac:dyDescent="0.25">
      <c r="A183" s="60">
        <v>147</v>
      </c>
      <c r="B183" s="86" t="str" cm="1">
        <f t="array" aca="1" ref="B18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147),"")</f>
        <v/>
      </c>
      <c r="C183" s="86" t="str" cm="1">
        <f t="array" aca="1" ref="C183" ca="1">IF(B183="","",IF(INDIRECT("'"&amp;$Q$3&amp;"'!"&amp;$Q$6&amp;(B183+1))=1,"ON","OFF"))</f>
        <v/>
      </c>
      <c r="D183" s="87" t="str" cm="1">
        <f t="array" aca="1" ref="D183" ca="1">IF(B183="","",IFERROR((INDIRECT("'"&amp;$Q$3&amp;"'!A"&amp;(B183+1))-INDIRECT("'"&amp;$Q$3&amp;"'!A2"))*86400,""))</f>
        <v/>
      </c>
      <c r="E183" s="88" t="str">
        <f t="shared" ca="1" si="9"/>
        <v/>
      </c>
      <c r="G183" s="60">
        <v>147</v>
      </c>
      <c r="H183" s="86" t="str" cm="1">
        <f t="array" aca="1" ref="H18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147),"")</f>
        <v/>
      </c>
      <c r="I183" s="86" t="str" cm="1">
        <f t="array" aca="1" ref="I183" ca="1">IF(H183="","",IF(INDIRECT("'"&amp;$Q$3&amp;"'!"&amp;$Q$7&amp;(H183+1))=1,"ON","OFF"))</f>
        <v/>
      </c>
      <c r="J183" s="87" t="str" cm="1">
        <f t="array" aca="1" ref="J183" ca="1">IF(H183="","",IFERROR((INDIRECT("'"&amp;$Q$3&amp;"'!A"&amp;(H183+1))-INDIRECT("'"&amp;$Q$3&amp;"'!A2"))*86400,""))</f>
        <v/>
      </c>
      <c r="K183" s="88" t="str">
        <f t="shared" ca="1" si="10"/>
        <v/>
      </c>
    </row>
    <row r="184" spans="1:11" x14ac:dyDescent="0.25">
      <c r="A184" s="60">
        <v>148</v>
      </c>
      <c r="B184" s="86" t="str" cm="1">
        <f t="array" aca="1" ref="B18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148),"")</f>
        <v/>
      </c>
      <c r="C184" s="86" t="str" cm="1">
        <f t="array" aca="1" ref="C184" ca="1">IF(B184="","",IF(INDIRECT("'"&amp;$Q$3&amp;"'!"&amp;$Q$6&amp;(B184+1))=1,"ON","OFF"))</f>
        <v/>
      </c>
      <c r="D184" s="87" t="str" cm="1">
        <f t="array" aca="1" ref="D184" ca="1">IF(B184="","",IFERROR((INDIRECT("'"&amp;$Q$3&amp;"'!A"&amp;(B184+1))-INDIRECT("'"&amp;$Q$3&amp;"'!A2"))*86400,""))</f>
        <v/>
      </c>
      <c r="E184" s="88" t="str">
        <f t="shared" ca="1" si="9"/>
        <v/>
      </c>
      <c r="G184" s="60">
        <v>148</v>
      </c>
      <c r="H184" s="86" t="str" cm="1">
        <f t="array" aca="1" ref="H18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148),"")</f>
        <v/>
      </c>
      <c r="I184" s="86" t="str" cm="1">
        <f t="array" aca="1" ref="I184" ca="1">IF(H184="","",IF(INDIRECT("'"&amp;$Q$3&amp;"'!"&amp;$Q$7&amp;(H184+1))=1,"ON","OFF"))</f>
        <v/>
      </c>
      <c r="J184" s="87" t="str" cm="1">
        <f t="array" aca="1" ref="J184" ca="1">IF(H184="","",IFERROR((INDIRECT("'"&amp;$Q$3&amp;"'!A"&amp;(H184+1))-INDIRECT("'"&amp;$Q$3&amp;"'!A2"))*86400,""))</f>
        <v/>
      </c>
      <c r="K184" s="88" t="str">
        <f t="shared" ca="1" si="10"/>
        <v/>
      </c>
    </row>
    <row r="185" spans="1:11" x14ac:dyDescent="0.25">
      <c r="A185" s="60">
        <v>149</v>
      </c>
      <c r="B185" s="86" t="str" cm="1">
        <f t="array" aca="1" ref="B18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149),"")</f>
        <v/>
      </c>
      <c r="C185" s="86" t="str" cm="1">
        <f t="array" aca="1" ref="C185" ca="1">IF(B185="","",IF(INDIRECT("'"&amp;$Q$3&amp;"'!"&amp;$Q$6&amp;(B185+1))=1,"ON","OFF"))</f>
        <v/>
      </c>
      <c r="D185" s="87" t="str" cm="1">
        <f t="array" aca="1" ref="D185" ca="1">IF(B185="","",IFERROR((INDIRECT("'"&amp;$Q$3&amp;"'!A"&amp;(B185+1))-INDIRECT("'"&amp;$Q$3&amp;"'!A2"))*86400,""))</f>
        <v/>
      </c>
      <c r="E185" s="88" t="str">
        <f t="shared" ca="1" si="9"/>
        <v/>
      </c>
      <c r="G185" s="60">
        <v>149</v>
      </c>
      <c r="H185" s="86" t="str" cm="1">
        <f t="array" aca="1" ref="H18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149),"")</f>
        <v/>
      </c>
      <c r="I185" s="86" t="str" cm="1">
        <f t="array" aca="1" ref="I185" ca="1">IF(H185="","",IF(INDIRECT("'"&amp;$Q$3&amp;"'!"&amp;$Q$7&amp;(H185+1))=1,"ON","OFF"))</f>
        <v/>
      </c>
      <c r="J185" s="87" t="str" cm="1">
        <f t="array" aca="1" ref="J185" ca="1">IF(H185="","",IFERROR((INDIRECT("'"&amp;$Q$3&amp;"'!A"&amp;(H185+1))-INDIRECT("'"&amp;$Q$3&amp;"'!A2"))*86400,""))</f>
        <v/>
      </c>
      <c r="K185" s="88" t="str">
        <f t="shared" ca="1" si="10"/>
        <v/>
      </c>
    </row>
    <row r="186" spans="1:11" x14ac:dyDescent="0.25">
      <c r="A186" s="60">
        <v>150</v>
      </c>
      <c r="B186" s="86" t="str" cm="1">
        <f t="array" aca="1" ref="B18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150),"")</f>
        <v/>
      </c>
      <c r="C186" s="86" t="str" cm="1">
        <f t="array" aca="1" ref="C186" ca="1">IF(B186="","",IF(INDIRECT("'"&amp;$Q$3&amp;"'!"&amp;$Q$6&amp;(B186+1))=1,"ON","OFF"))</f>
        <v/>
      </c>
      <c r="D186" s="87" t="str" cm="1">
        <f t="array" aca="1" ref="D186" ca="1">IF(B186="","",IFERROR((INDIRECT("'"&amp;$Q$3&amp;"'!A"&amp;(B186+1))-INDIRECT("'"&amp;$Q$3&amp;"'!A2"))*86400,""))</f>
        <v/>
      </c>
      <c r="E186" s="88" t="str">
        <f t="shared" ca="1" si="9"/>
        <v/>
      </c>
      <c r="G186" s="60">
        <v>150</v>
      </c>
      <c r="H186" s="86" t="str" cm="1">
        <f t="array" aca="1" ref="H18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150),"")</f>
        <v/>
      </c>
      <c r="I186" s="86" t="str" cm="1">
        <f t="array" aca="1" ref="I186" ca="1">IF(H186="","",IF(INDIRECT("'"&amp;$Q$3&amp;"'!"&amp;$Q$7&amp;(H186+1))=1,"ON","OFF"))</f>
        <v/>
      </c>
      <c r="J186" s="87" t="str" cm="1">
        <f t="array" aca="1" ref="J186" ca="1">IF(H186="","",IFERROR((INDIRECT("'"&amp;$Q$3&amp;"'!A"&amp;(H186+1))-INDIRECT("'"&amp;$Q$3&amp;"'!A2"))*86400,""))</f>
        <v/>
      </c>
      <c r="K186" s="88" t="str">
        <f t="shared" ca="1" si="10"/>
        <v/>
      </c>
    </row>
    <row r="187" spans="1:11" x14ac:dyDescent="0.25">
      <c r="A187" s="60">
        <v>151</v>
      </c>
      <c r="B187" s="86" t="str" cm="1">
        <f t="array" aca="1" ref="B18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151),"")</f>
        <v/>
      </c>
      <c r="C187" s="86" t="str" cm="1">
        <f t="array" aca="1" ref="C187" ca="1">IF(B187="","",IF(INDIRECT("'"&amp;$Q$3&amp;"'!"&amp;$Q$6&amp;(B187+1))=1,"ON","OFF"))</f>
        <v/>
      </c>
      <c r="D187" s="87" t="str" cm="1">
        <f t="array" aca="1" ref="D187" ca="1">IF(B187="","",IFERROR((INDIRECT("'"&amp;$Q$3&amp;"'!A"&amp;(B187+1))-INDIRECT("'"&amp;$Q$3&amp;"'!A2"))*86400,""))</f>
        <v/>
      </c>
      <c r="E187" s="88" t="str">
        <f t="shared" ca="1" si="9"/>
        <v/>
      </c>
      <c r="G187" s="60">
        <v>151</v>
      </c>
      <c r="H187" s="86" t="str" cm="1">
        <f t="array" aca="1" ref="H18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151),"")</f>
        <v/>
      </c>
      <c r="I187" s="86" t="str" cm="1">
        <f t="array" aca="1" ref="I187" ca="1">IF(H187="","",IF(INDIRECT("'"&amp;$Q$3&amp;"'!"&amp;$Q$7&amp;(H187+1))=1,"ON","OFF"))</f>
        <v/>
      </c>
      <c r="J187" s="87" t="str" cm="1">
        <f t="array" aca="1" ref="J187" ca="1">IF(H187="","",IFERROR((INDIRECT("'"&amp;$Q$3&amp;"'!A"&amp;(H187+1))-INDIRECT("'"&amp;$Q$3&amp;"'!A2"))*86400,""))</f>
        <v/>
      </c>
      <c r="K187" s="88" t="str">
        <f t="shared" ca="1" si="10"/>
        <v/>
      </c>
    </row>
    <row r="188" spans="1:11" x14ac:dyDescent="0.25">
      <c r="A188" s="60">
        <v>152</v>
      </c>
      <c r="B188" s="86" t="str" cm="1">
        <f t="array" aca="1" ref="B18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152),"")</f>
        <v/>
      </c>
      <c r="C188" s="86" t="str" cm="1">
        <f t="array" aca="1" ref="C188" ca="1">IF(B188="","",IF(INDIRECT("'"&amp;$Q$3&amp;"'!"&amp;$Q$6&amp;(B188+1))=1,"ON","OFF"))</f>
        <v/>
      </c>
      <c r="D188" s="87" t="str" cm="1">
        <f t="array" aca="1" ref="D188" ca="1">IF(B188="","",IFERROR((INDIRECT("'"&amp;$Q$3&amp;"'!A"&amp;(B188+1))-INDIRECT("'"&amp;$Q$3&amp;"'!A2"))*86400,""))</f>
        <v/>
      </c>
      <c r="E188" s="88" t="str">
        <f t="shared" ca="1" si="9"/>
        <v/>
      </c>
      <c r="G188" s="60">
        <v>152</v>
      </c>
      <c r="H188" s="86" t="str" cm="1">
        <f t="array" aca="1" ref="H18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152),"")</f>
        <v/>
      </c>
      <c r="I188" s="86" t="str" cm="1">
        <f t="array" aca="1" ref="I188" ca="1">IF(H188="","",IF(INDIRECT("'"&amp;$Q$3&amp;"'!"&amp;$Q$7&amp;(H188+1))=1,"ON","OFF"))</f>
        <v/>
      </c>
      <c r="J188" s="87" t="str" cm="1">
        <f t="array" aca="1" ref="J188" ca="1">IF(H188="","",IFERROR((INDIRECT("'"&amp;$Q$3&amp;"'!A"&amp;(H188+1))-INDIRECT("'"&amp;$Q$3&amp;"'!A2"))*86400,""))</f>
        <v/>
      </c>
      <c r="K188" s="88" t="str">
        <f t="shared" ca="1" si="10"/>
        <v/>
      </c>
    </row>
    <row r="189" spans="1:11" x14ac:dyDescent="0.25">
      <c r="A189" s="60">
        <v>153</v>
      </c>
      <c r="B189" s="86" t="str" cm="1">
        <f t="array" aca="1" ref="B18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153),"")</f>
        <v/>
      </c>
      <c r="C189" s="86" t="str" cm="1">
        <f t="array" aca="1" ref="C189" ca="1">IF(B189="","",IF(INDIRECT("'"&amp;$Q$3&amp;"'!"&amp;$Q$6&amp;(B189+1))=1,"ON","OFF"))</f>
        <v/>
      </c>
      <c r="D189" s="87" t="str" cm="1">
        <f t="array" aca="1" ref="D189" ca="1">IF(B189="","",IFERROR((INDIRECT("'"&amp;$Q$3&amp;"'!A"&amp;(B189+1))-INDIRECT("'"&amp;$Q$3&amp;"'!A2"))*86400,""))</f>
        <v/>
      </c>
      <c r="E189" s="88" t="str">
        <f t="shared" ca="1" si="9"/>
        <v/>
      </c>
      <c r="G189" s="60">
        <v>153</v>
      </c>
      <c r="H189" s="86" t="str" cm="1">
        <f t="array" aca="1" ref="H18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153),"")</f>
        <v/>
      </c>
      <c r="I189" s="86" t="str" cm="1">
        <f t="array" aca="1" ref="I189" ca="1">IF(H189="","",IF(INDIRECT("'"&amp;$Q$3&amp;"'!"&amp;$Q$7&amp;(H189+1))=1,"ON","OFF"))</f>
        <v/>
      </c>
      <c r="J189" s="87" t="str" cm="1">
        <f t="array" aca="1" ref="J189" ca="1">IF(H189="","",IFERROR((INDIRECT("'"&amp;$Q$3&amp;"'!A"&amp;(H189+1))-INDIRECT("'"&amp;$Q$3&amp;"'!A2"))*86400,""))</f>
        <v/>
      </c>
      <c r="K189" s="88" t="str">
        <f t="shared" ca="1" si="10"/>
        <v/>
      </c>
    </row>
    <row r="190" spans="1:11" x14ac:dyDescent="0.25">
      <c r="A190" s="60">
        <v>154</v>
      </c>
      <c r="B190" s="86" t="str" cm="1">
        <f t="array" aca="1" ref="B19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154),"")</f>
        <v/>
      </c>
      <c r="C190" s="86" t="str" cm="1">
        <f t="array" aca="1" ref="C190" ca="1">IF(B190="","",IF(INDIRECT("'"&amp;$Q$3&amp;"'!"&amp;$Q$6&amp;(B190+1))=1,"ON","OFF"))</f>
        <v/>
      </c>
      <c r="D190" s="87" t="str" cm="1">
        <f t="array" aca="1" ref="D190" ca="1">IF(B190="","",IFERROR((INDIRECT("'"&amp;$Q$3&amp;"'!A"&amp;(B190+1))-INDIRECT("'"&amp;$Q$3&amp;"'!A2"))*86400,""))</f>
        <v/>
      </c>
      <c r="E190" s="88" t="str">
        <f t="shared" ca="1" si="9"/>
        <v/>
      </c>
      <c r="G190" s="60">
        <v>154</v>
      </c>
      <c r="H190" s="86" t="str" cm="1">
        <f t="array" aca="1" ref="H19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154),"")</f>
        <v/>
      </c>
      <c r="I190" s="86" t="str" cm="1">
        <f t="array" aca="1" ref="I190" ca="1">IF(H190="","",IF(INDIRECT("'"&amp;$Q$3&amp;"'!"&amp;$Q$7&amp;(H190+1))=1,"ON","OFF"))</f>
        <v/>
      </c>
      <c r="J190" s="87" t="str" cm="1">
        <f t="array" aca="1" ref="J190" ca="1">IF(H190="","",IFERROR((INDIRECT("'"&amp;$Q$3&amp;"'!A"&amp;(H190+1))-INDIRECT("'"&amp;$Q$3&amp;"'!A2"))*86400,""))</f>
        <v/>
      </c>
      <c r="K190" s="88" t="str">
        <f t="shared" ca="1" si="10"/>
        <v/>
      </c>
    </row>
    <row r="191" spans="1:11" x14ac:dyDescent="0.25">
      <c r="A191" s="60">
        <v>155</v>
      </c>
      <c r="B191" s="86" t="str" cm="1">
        <f t="array" aca="1" ref="B19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155),"")</f>
        <v/>
      </c>
      <c r="C191" s="86" t="str" cm="1">
        <f t="array" aca="1" ref="C191" ca="1">IF(B191="","",IF(INDIRECT("'"&amp;$Q$3&amp;"'!"&amp;$Q$6&amp;(B191+1))=1,"ON","OFF"))</f>
        <v/>
      </c>
      <c r="D191" s="87" t="str" cm="1">
        <f t="array" aca="1" ref="D191" ca="1">IF(B191="","",IFERROR((INDIRECT("'"&amp;$Q$3&amp;"'!A"&amp;(B191+1))-INDIRECT("'"&amp;$Q$3&amp;"'!A2"))*86400,""))</f>
        <v/>
      </c>
      <c r="E191" s="88" t="str">
        <f t="shared" ca="1" si="9"/>
        <v/>
      </c>
      <c r="G191" s="60">
        <v>155</v>
      </c>
      <c r="H191" s="86" t="str" cm="1">
        <f t="array" aca="1" ref="H19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155),"")</f>
        <v/>
      </c>
      <c r="I191" s="86" t="str" cm="1">
        <f t="array" aca="1" ref="I191" ca="1">IF(H191="","",IF(INDIRECT("'"&amp;$Q$3&amp;"'!"&amp;$Q$7&amp;(H191+1))=1,"ON","OFF"))</f>
        <v/>
      </c>
      <c r="J191" s="87" t="str" cm="1">
        <f t="array" aca="1" ref="J191" ca="1">IF(H191="","",IFERROR((INDIRECT("'"&amp;$Q$3&amp;"'!A"&amp;(H191+1))-INDIRECT("'"&amp;$Q$3&amp;"'!A2"))*86400,""))</f>
        <v/>
      </c>
      <c r="K191" s="88" t="str">
        <f t="shared" ca="1" si="10"/>
        <v/>
      </c>
    </row>
    <row r="192" spans="1:11" x14ac:dyDescent="0.25">
      <c r="A192" s="60">
        <v>156</v>
      </c>
      <c r="B192" s="86" t="str" cm="1">
        <f t="array" aca="1" ref="B19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156),"")</f>
        <v/>
      </c>
      <c r="C192" s="86" t="str" cm="1">
        <f t="array" aca="1" ref="C192" ca="1">IF(B192="","",IF(INDIRECT("'"&amp;$Q$3&amp;"'!"&amp;$Q$6&amp;(B192+1))=1,"ON","OFF"))</f>
        <v/>
      </c>
      <c r="D192" s="87" t="str" cm="1">
        <f t="array" aca="1" ref="D192" ca="1">IF(B192="","",IFERROR((INDIRECT("'"&amp;$Q$3&amp;"'!A"&amp;(B192+1))-INDIRECT("'"&amp;$Q$3&amp;"'!A2"))*86400,""))</f>
        <v/>
      </c>
      <c r="E192" s="88" t="str">
        <f t="shared" ca="1" si="9"/>
        <v/>
      </c>
      <c r="G192" s="60">
        <v>156</v>
      </c>
      <c r="H192" s="86" t="str" cm="1">
        <f t="array" aca="1" ref="H19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156),"")</f>
        <v/>
      </c>
      <c r="I192" s="86" t="str" cm="1">
        <f t="array" aca="1" ref="I192" ca="1">IF(H192="","",IF(INDIRECT("'"&amp;$Q$3&amp;"'!"&amp;$Q$7&amp;(H192+1))=1,"ON","OFF"))</f>
        <v/>
      </c>
      <c r="J192" s="87" t="str" cm="1">
        <f t="array" aca="1" ref="J192" ca="1">IF(H192="","",IFERROR((INDIRECT("'"&amp;$Q$3&amp;"'!A"&amp;(H192+1))-INDIRECT("'"&amp;$Q$3&amp;"'!A2"))*86400,""))</f>
        <v/>
      </c>
      <c r="K192" s="88" t="str">
        <f t="shared" ca="1" si="10"/>
        <v/>
      </c>
    </row>
    <row r="193" spans="1:11" x14ac:dyDescent="0.25">
      <c r="A193" s="60">
        <v>157</v>
      </c>
      <c r="B193" s="86" t="str" cm="1">
        <f t="array" aca="1" ref="B19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157),"")</f>
        <v/>
      </c>
      <c r="C193" s="86" t="str" cm="1">
        <f t="array" aca="1" ref="C193" ca="1">IF(B193="","",IF(INDIRECT("'"&amp;$Q$3&amp;"'!"&amp;$Q$6&amp;(B193+1))=1,"ON","OFF"))</f>
        <v/>
      </c>
      <c r="D193" s="87" t="str" cm="1">
        <f t="array" aca="1" ref="D193" ca="1">IF(B193="","",IFERROR((INDIRECT("'"&amp;$Q$3&amp;"'!A"&amp;(B193+1))-INDIRECT("'"&amp;$Q$3&amp;"'!A2"))*86400,""))</f>
        <v/>
      </c>
      <c r="E193" s="88" t="str">
        <f t="shared" ca="1" si="9"/>
        <v/>
      </c>
      <c r="G193" s="60">
        <v>157</v>
      </c>
      <c r="H193" s="86" t="str" cm="1">
        <f t="array" aca="1" ref="H19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157),"")</f>
        <v/>
      </c>
      <c r="I193" s="86" t="str" cm="1">
        <f t="array" aca="1" ref="I193" ca="1">IF(H193="","",IF(INDIRECT("'"&amp;$Q$3&amp;"'!"&amp;$Q$7&amp;(H193+1))=1,"ON","OFF"))</f>
        <v/>
      </c>
      <c r="J193" s="87" t="str" cm="1">
        <f t="array" aca="1" ref="J193" ca="1">IF(H193="","",IFERROR((INDIRECT("'"&amp;$Q$3&amp;"'!A"&amp;(H193+1))-INDIRECT("'"&amp;$Q$3&amp;"'!A2"))*86400,""))</f>
        <v/>
      </c>
      <c r="K193" s="88" t="str">
        <f t="shared" ca="1" si="10"/>
        <v/>
      </c>
    </row>
    <row r="194" spans="1:11" x14ac:dyDescent="0.25">
      <c r="A194" s="60">
        <v>158</v>
      </c>
      <c r="B194" s="86" t="str" cm="1">
        <f t="array" aca="1" ref="B19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158),"")</f>
        <v/>
      </c>
      <c r="C194" s="86" t="str" cm="1">
        <f t="array" aca="1" ref="C194" ca="1">IF(B194="","",IF(INDIRECT("'"&amp;$Q$3&amp;"'!"&amp;$Q$6&amp;(B194+1))=1,"ON","OFF"))</f>
        <v/>
      </c>
      <c r="D194" s="87" t="str" cm="1">
        <f t="array" aca="1" ref="D194" ca="1">IF(B194="","",IFERROR((INDIRECT("'"&amp;$Q$3&amp;"'!A"&amp;(B194+1))-INDIRECT("'"&amp;$Q$3&amp;"'!A2"))*86400,""))</f>
        <v/>
      </c>
      <c r="E194" s="88" t="str">
        <f t="shared" ca="1" si="9"/>
        <v/>
      </c>
      <c r="G194" s="60">
        <v>158</v>
      </c>
      <c r="H194" s="86" t="str" cm="1">
        <f t="array" aca="1" ref="H19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158),"")</f>
        <v/>
      </c>
      <c r="I194" s="86" t="str" cm="1">
        <f t="array" aca="1" ref="I194" ca="1">IF(H194="","",IF(INDIRECT("'"&amp;$Q$3&amp;"'!"&amp;$Q$7&amp;(H194+1))=1,"ON","OFF"))</f>
        <v/>
      </c>
      <c r="J194" s="87" t="str" cm="1">
        <f t="array" aca="1" ref="J194" ca="1">IF(H194="","",IFERROR((INDIRECT("'"&amp;$Q$3&amp;"'!A"&amp;(H194+1))-INDIRECT("'"&amp;$Q$3&amp;"'!A2"))*86400,""))</f>
        <v/>
      </c>
      <c r="K194" s="88" t="str">
        <f t="shared" ca="1" si="10"/>
        <v/>
      </c>
    </row>
    <row r="195" spans="1:11" x14ac:dyDescent="0.25">
      <c r="A195" s="60">
        <v>159</v>
      </c>
      <c r="B195" s="86" t="str" cm="1">
        <f t="array" aca="1" ref="B19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159),"")</f>
        <v/>
      </c>
      <c r="C195" s="86" t="str" cm="1">
        <f t="array" aca="1" ref="C195" ca="1">IF(B195="","",IF(INDIRECT("'"&amp;$Q$3&amp;"'!"&amp;$Q$6&amp;(B195+1))=1,"ON","OFF"))</f>
        <v/>
      </c>
      <c r="D195" s="87" t="str" cm="1">
        <f t="array" aca="1" ref="D195" ca="1">IF(B195="","",IFERROR((INDIRECT("'"&amp;$Q$3&amp;"'!A"&amp;(B195+1))-INDIRECT("'"&amp;$Q$3&amp;"'!A2"))*86400,""))</f>
        <v/>
      </c>
      <c r="E195" s="88" t="str">
        <f t="shared" ca="1" si="9"/>
        <v/>
      </c>
      <c r="G195" s="60">
        <v>159</v>
      </c>
      <c r="H195" s="86" t="str" cm="1">
        <f t="array" aca="1" ref="H19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159),"")</f>
        <v/>
      </c>
      <c r="I195" s="86" t="str" cm="1">
        <f t="array" aca="1" ref="I195" ca="1">IF(H195="","",IF(INDIRECT("'"&amp;$Q$3&amp;"'!"&amp;$Q$7&amp;(H195+1))=1,"ON","OFF"))</f>
        <v/>
      </c>
      <c r="J195" s="87" t="str" cm="1">
        <f t="array" aca="1" ref="J195" ca="1">IF(H195="","",IFERROR((INDIRECT("'"&amp;$Q$3&amp;"'!A"&amp;(H195+1))-INDIRECT("'"&amp;$Q$3&amp;"'!A2"))*86400,""))</f>
        <v/>
      </c>
      <c r="K195" s="88" t="str">
        <f t="shared" ca="1" si="10"/>
        <v/>
      </c>
    </row>
    <row r="196" spans="1:11" x14ac:dyDescent="0.25">
      <c r="A196" s="60">
        <v>160</v>
      </c>
      <c r="B196" s="86" t="str" cm="1">
        <f t="array" aca="1" ref="B19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160),"")</f>
        <v/>
      </c>
      <c r="C196" s="86" t="str" cm="1">
        <f t="array" aca="1" ref="C196" ca="1">IF(B196="","",IF(INDIRECT("'"&amp;$Q$3&amp;"'!"&amp;$Q$6&amp;(B196+1))=1,"ON","OFF"))</f>
        <v/>
      </c>
      <c r="D196" s="87" t="str" cm="1">
        <f t="array" aca="1" ref="D196" ca="1">IF(B196="","",IFERROR((INDIRECT("'"&amp;$Q$3&amp;"'!A"&amp;(B196+1))-INDIRECT("'"&amp;$Q$3&amp;"'!A2"))*86400,""))</f>
        <v/>
      </c>
      <c r="E196" s="88" t="str">
        <f t="shared" ca="1" si="9"/>
        <v/>
      </c>
      <c r="G196" s="60">
        <v>160</v>
      </c>
      <c r="H196" s="86" t="str" cm="1">
        <f t="array" aca="1" ref="H19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160),"")</f>
        <v/>
      </c>
      <c r="I196" s="86" t="str" cm="1">
        <f t="array" aca="1" ref="I196" ca="1">IF(H196="","",IF(INDIRECT("'"&amp;$Q$3&amp;"'!"&amp;$Q$7&amp;(H196+1))=1,"ON","OFF"))</f>
        <v/>
      </c>
      <c r="J196" s="87" t="str" cm="1">
        <f t="array" aca="1" ref="J196" ca="1">IF(H196="","",IFERROR((INDIRECT("'"&amp;$Q$3&amp;"'!A"&amp;(H196+1))-INDIRECT("'"&amp;$Q$3&amp;"'!A2"))*86400,""))</f>
        <v/>
      </c>
      <c r="K196" s="88" t="str">
        <f t="shared" ca="1" si="10"/>
        <v/>
      </c>
    </row>
    <row r="197" spans="1:11" x14ac:dyDescent="0.25">
      <c r="A197" s="60">
        <v>161</v>
      </c>
      <c r="B197" s="86" t="str" cm="1">
        <f t="array" aca="1" ref="B197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161),"")</f>
        <v/>
      </c>
      <c r="C197" s="86" t="str" cm="1">
        <f t="array" aca="1" ref="C197" ca="1">IF(B197="","",IF(INDIRECT("'"&amp;$Q$3&amp;"'!"&amp;$Q$6&amp;(B197+1))=1,"ON","OFF"))</f>
        <v/>
      </c>
      <c r="D197" s="87" t="str" cm="1">
        <f t="array" aca="1" ref="D197" ca="1">IF(B197="","",IFERROR((INDIRECT("'"&amp;$Q$3&amp;"'!A"&amp;(B197+1))-INDIRECT("'"&amp;$Q$3&amp;"'!A2"))*86400,""))</f>
        <v/>
      </c>
      <c r="E197" s="88" t="str">
        <f t="shared" ref="E197:E228" ca="1" si="11">IF(OR(B197="",B198=""),"",ROUND((D198-D197)*1000,0))</f>
        <v/>
      </c>
      <c r="G197" s="60">
        <v>161</v>
      </c>
      <c r="H197" s="86" t="str" cm="1">
        <f t="array" aca="1" ref="H197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161),"")</f>
        <v/>
      </c>
      <c r="I197" s="86" t="str" cm="1">
        <f t="array" aca="1" ref="I197" ca="1">IF(H197="","",IF(INDIRECT("'"&amp;$Q$3&amp;"'!"&amp;$Q$7&amp;(H197+1))=1,"ON","OFF"))</f>
        <v/>
      </c>
      <c r="J197" s="87" t="str" cm="1">
        <f t="array" aca="1" ref="J197" ca="1">IF(H197="","",IFERROR((INDIRECT("'"&amp;$Q$3&amp;"'!A"&amp;(H197+1))-INDIRECT("'"&amp;$Q$3&amp;"'!A2"))*86400,""))</f>
        <v/>
      </c>
      <c r="K197" s="88" t="str">
        <f t="shared" ref="K197:K228" ca="1" si="12">IF(OR(H197="",H198=""),"",ROUND((J198-J197)*1000,0))</f>
        <v/>
      </c>
    </row>
    <row r="198" spans="1:11" x14ac:dyDescent="0.25">
      <c r="A198" s="60">
        <v>162</v>
      </c>
      <c r="B198" s="86" t="str" cm="1">
        <f t="array" aca="1" ref="B198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162),"")</f>
        <v/>
      </c>
      <c r="C198" s="86" t="str" cm="1">
        <f t="array" aca="1" ref="C198" ca="1">IF(B198="","",IF(INDIRECT("'"&amp;$Q$3&amp;"'!"&amp;$Q$6&amp;(B198+1))=1,"ON","OFF"))</f>
        <v/>
      </c>
      <c r="D198" s="87" t="str" cm="1">
        <f t="array" aca="1" ref="D198" ca="1">IF(B198="","",IFERROR((INDIRECT("'"&amp;$Q$3&amp;"'!A"&amp;(B198+1))-INDIRECT("'"&amp;$Q$3&amp;"'!A2"))*86400,""))</f>
        <v/>
      </c>
      <c r="E198" s="88" t="str">
        <f t="shared" ca="1" si="11"/>
        <v/>
      </c>
      <c r="G198" s="60">
        <v>162</v>
      </c>
      <c r="H198" s="86" t="str" cm="1">
        <f t="array" aca="1" ref="H198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162),"")</f>
        <v/>
      </c>
      <c r="I198" s="86" t="str" cm="1">
        <f t="array" aca="1" ref="I198" ca="1">IF(H198="","",IF(INDIRECT("'"&amp;$Q$3&amp;"'!"&amp;$Q$7&amp;(H198+1))=1,"ON","OFF"))</f>
        <v/>
      </c>
      <c r="J198" s="87" t="str" cm="1">
        <f t="array" aca="1" ref="J198" ca="1">IF(H198="","",IFERROR((INDIRECT("'"&amp;$Q$3&amp;"'!A"&amp;(H198+1))-INDIRECT("'"&amp;$Q$3&amp;"'!A2"))*86400,""))</f>
        <v/>
      </c>
      <c r="K198" s="88" t="str">
        <f t="shared" ca="1" si="12"/>
        <v/>
      </c>
    </row>
    <row r="199" spans="1:11" x14ac:dyDescent="0.25">
      <c r="A199" s="60">
        <v>163</v>
      </c>
      <c r="B199" s="86" t="str" cm="1">
        <f t="array" aca="1" ref="B199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163),"")</f>
        <v/>
      </c>
      <c r="C199" s="86" t="str" cm="1">
        <f t="array" aca="1" ref="C199" ca="1">IF(B199="","",IF(INDIRECT("'"&amp;$Q$3&amp;"'!"&amp;$Q$6&amp;(B199+1))=1,"ON","OFF"))</f>
        <v/>
      </c>
      <c r="D199" s="87" t="str" cm="1">
        <f t="array" aca="1" ref="D199" ca="1">IF(B199="","",IFERROR((INDIRECT("'"&amp;$Q$3&amp;"'!A"&amp;(B199+1))-INDIRECT("'"&amp;$Q$3&amp;"'!A2"))*86400,""))</f>
        <v/>
      </c>
      <c r="E199" s="88" t="str">
        <f t="shared" ca="1" si="11"/>
        <v/>
      </c>
      <c r="G199" s="60">
        <v>163</v>
      </c>
      <c r="H199" s="86" t="str" cm="1">
        <f t="array" aca="1" ref="H199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163),"")</f>
        <v/>
      </c>
      <c r="I199" s="86" t="str" cm="1">
        <f t="array" aca="1" ref="I199" ca="1">IF(H199="","",IF(INDIRECT("'"&amp;$Q$3&amp;"'!"&amp;$Q$7&amp;(H199+1))=1,"ON","OFF"))</f>
        <v/>
      </c>
      <c r="J199" s="87" t="str" cm="1">
        <f t="array" aca="1" ref="J199" ca="1">IF(H199="","",IFERROR((INDIRECT("'"&amp;$Q$3&amp;"'!A"&amp;(H199+1))-INDIRECT("'"&amp;$Q$3&amp;"'!A2"))*86400,""))</f>
        <v/>
      </c>
      <c r="K199" s="88" t="str">
        <f t="shared" ca="1" si="12"/>
        <v/>
      </c>
    </row>
    <row r="200" spans="1:11" x14ac:dyDescent="0.25">
      <c r="A200" s="60">
        <v>164</v>
      </c>
      <c r="B200" s="86" t="str" cm="1">
        <f t="array" aca="1" ref="B200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164),"")</f>
        <v/>
      </c>
      <c r="C200" s="86" t="str" cm="1">
        <f t="array" aca="1" ref="C200" ca="1">IF(B200="","",IF(INDIRECT("'"&amp;$Q$3&amp;"'!"&amp;$Q$6&amp;(B200+1))=1,"ON","OFF"))</f>
        <v/>
      </c>
      <c r="D200" s="87" t="str" cm="1">
        <f t="array" aca="1" ref="D200" ca="1">IF(B200="","",IFERROR((INDIRECT("'"&amp;$Q$3&amp;"'!A"&amp;(B200+1))-INDIRECT("'"&amp;$Q$3&amp;"'!A2"))*86400,""))</f>
        <v/>
      </c>
      <c r="E200" s="88" t="str">
        <f t="shared" ca="1" si="11"/>
        <v/>
      </c>
      <c r="G200" s="60">
        <v>164</v>
      </c>
      <c r="H200" s="86" t="str" cm="1">
        <f t="array" aca="1" ref="H200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164),"")</f>
        <v/>
      </c>
      <c r="I200" s="86" t="str" cm="1">
        <f t="array" aca="1" ref="I200" ca="1">IF(H200="","",IF(INDIRECT("'"&amp;$Q$3&amp;"'!"&amp;$Q$7&amp;(H200+1))=1,"ON","OFF"))</f>
        <v/>
      </c>
      <c r="J200" s="87" t="str" cm="1">
        <f t="array" aca="1" ref="J200" ca="1">IF(H200="","",IFERROR((INDIRECT("'"&amp;$Q$3&amp;"'!A"&amp;(H200+1))-INDIRECT("'"&amp;$Q$3&amp;"'!A2"))*86400,""))</f>
        <v/>
      </c>
      <c r="K200" s="88" t="str">
        <f t="shared" ca="1" si="12"/>
        <v/>
      </c>
    </row>
    <row r="201" spans="1:11" x14ac:dyDescent="0.25">
      <c r="A201" s="60">
        <v>165</v>
      </c>
      <c r="B201" s="86" t="str" cm="1">
        <f t="array" aca="1" ref="B201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165),"")</f>
        <v/>
      </c>
      <c r="C201" s="86" t="str" cm="1">
        <f t="array" aca="1" ref="C201" ca="1">IF(B201="","",IF(INDIRECT("'"&amp;$Q$3&amp;"'!"&amp;$Q$6&amp;(B201+1))=1,"ON","OFF"))</f>
        <v/>
      </c>
      <c r="D201" s="87" t="str" cm="1">
        <f t="array" aca="1" ref="D201" ca="1">IF(B201="","",IFERROR((INDIRECT("'"&amp;$Q$3&amp;"'!A"&amp;(B201+1))-INDIRECT("'"&amp;$Q$3&amp;"'!A2"))*86400,""))</f>
        <v/>
      </c>
      <c r="E201" s="88" t="str">
        <f t="shared" ca="1" si="11"/>
        <v/>
      </c>
      <c r="G201" s="60">
        <v>165</v>
      </c>
      <c r="H201" s="86" t="str" cm="1">
        <f t="array" aca="1" ref="H201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165),"")</f>
        <v/>
      </c>
      <c r="I201" s="86" t="str" cm="1">
        <f t="array" aca="1" ref="I201" ca="1">IF(H201="","",IF(INDIRECT("'"&amp;$Q$3&amp;"'!"&amp;$Q$7&amp;(H201+1))=1,"ON","OFF"))</f>
        <v/>
      </c>
      <c r="J201" s="87" t="str" cm="1">
        <f t="array" aca="1" ref="J201" ca="1">IF(H201="","",IFERROR((INDIRECT("'"&amp;$Q$3&amp;"'!A"&amp;(H201+1))-INDIRECT("'"&amp;$Q$3&amp;"'!A2"))*86400,""))</f>
        <v/>
      </c>
      <c r="K201" s="88" t="str">
        <f t="shared" ca="1" si="12"/>
        <v/>
      </c>
    </row>
    <row r="202" spans="1:11" x14ac:dyDescent="0.25">
      <c r="A202" s="60">
        <v>166</v>
      </c>
      <c r="B202" s="86" t="str" cm="1">
        <f t="array" aca="1" ref="B202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166),"")</f>
        <v/>
      </c>
      <c r="C202" s="86" t="str" cm="1">
        <f t="array" aca="1" ref="C202" ca="1">IF(B202="","",IF(INDIRECT("'"&amp;$Q$3&amp;"'!"&amp;$Q$6&amp;(B202+1))=1,"ON","OFF"))</f>
        <v/>
      </c>
      <c r="D202" s="87" t="str" cm="1">
        <f t="array" aca="1" ref="D202" ca="1">IF(B202="","",IFERROR((INDIRECT("'"&amp;$Q$3&amp;"'!A"&amp;(B202+1))-INDIRECT("'"&amp;$Q$3&amp;"'!A2"))*86400,""))</f>
        <v/>
      </c>
      <c r="E202" s="88" t="str">
        <f t="shared" ca="1" si="11"/>
        <v/>
      </c>
      <c r="G202" s="60">
        <v>166</v>
      </c>
      <c r="H202" s="86" t="str" cm="1">
        <f t="array" aca="1" ref="H202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166),"")</f>
        <v/>
      </c>
      <c r="I202" s="86" t="str" cm="1">
        <f t="array" aca="1" ref="I202" ca="1">IF(H202="","",IF(INDIRECT("'"&amp;$Q$3&amp;"'!"&amp;$Q$7&amp;(H202+1))=1,"ON","OFF"))</f>
        <v/>
      </c>
      <c r="J202" s="87" t="str" cm="1">
        <f t="array" aca="1" ref="J202" ca="1">IF(H202="","",IFERROR((INDIRECT("'"&amp;$Q$3&amp;"'!A"&amp;(H202+1))-INDIRECT("'"&amp;$Q$3&amp;"'!A2"))*86400,""))</f>
        <v/>
      </c>
      <c r="K202" s="88" t="str">
        <f t="shared" ca="1" si="12"/>
        <v/>
      </c>
    </row>
    <row r="203" spans="1:11" x14ac:dyDescent="0.25">
      <c r="A203" s="60">
        <v>167</v>
      </c>
      <c r="B203" s="86" t="str" cm="1">
        <f t="array" aca="1" ref="B203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167),"")</f>
        <v/>
      </c>
      <c r="C203" s="86" t="str" cm="1">
        <f t="array" aca="1" ref="C203" ca="1">IF(B203="","",IF(INDIRECT("'"&amp;$Q$3&amp;"'!"&amp;$Q$6&amp;(B203+1))=1,"ON","OFF"))</f>
        <v/>
      </c>
      <c r="D203" s="87" t="str" cm="1">
        <f t="array" aca="1" ref="D203" ca="1">IF(B203="","",IFERROR((INDIRECT("'"&amp;$Q$3&amp;"'!A"&amp;(B203+1))-INDIRECT("'"&amp;$Q$3&amp;"'!A2"))*86400,""))</f>
        <v/>
      </c>
      <c r="E203" s="88" t="str">
        <f t="shared" ca="1" si="11"/>
        <v/>
      </c>
      <c r="G203" s="60">
        <v>167</v>
      </c>
      <c r="H203" s="86" t="str" cm="1">
        <f t="array" aca="1" ref="H203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167),"")</f>
        <v/>
      </c>
      <c r="I203" s="86" t="str" cm="1">
        <f t="array" aca="1" ref="I203" ca="1">IF(H203="","",IF(INDIRECT("'"&amp;$Q$3&amp;"'!"&amp;$Q$7&amp;(H203+1))=1,"ON","OFF"))</f>
        <v/>
      </c>
      <c r="J203" s="87" t="str" cm="1">
        <f t="array" aca="1" ref="J203" ca="1">IF(H203="","",IFERROR((INDIRECT("'"&amp;$Q$3&amp;"'!A"&amp;(H203+1))-INDIRECT("'"&amp;$Q$3&amp;"'!A2"))*86400,""))</f>
        <v/>
      </c>
      <c r="K203" s="88" t="str">
        <f t="shared" ca="1" si="12"/>
        <v/>
      </c>
    </row>
    <row r="204" spans="1:11" x14ac:dyDescent="0.25">
      <c r="A204" s="60">
        <v>168</v>
      </c>
      <c r="B204" s="86" t="str" cm="1">
        <f t="array" aca="1" ref="B204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168),"")</f>
        <v/>
      </c>
      <c r="C204" s="86" t="str" cm="1">
        <f t="array" aca="1" ref="C204" ca="1">IF(B204="","",IF(INDIRECT("'"&amp;$Q$3&amp;"'!"&amp;$Q$6&amp;(B204+1))=1,"ON","OFF"))</f>
        <v/>
      </c>
      <c r="D204" s="87" t="str" cm="1">
        <f t="array" aca="1" ref="D204" ca="1">IF(B204="","",IFERROR((INDIRECT("'"&amp;$Q$3&amp;"'!A"&amp;(B204+1))-INDIRECT("'"&amp;$Q$3&amp;"'!A2"))*86400,""))</f>
        <v/>
      </c>
      <c r="E204" s="88" t="str">
        <f t="shared" ca="1" si="11"/>
        <v/>
      </c>
      <c r="G204" s="60">
        <v>168</v>
      </c>
      <c r="H204" s="86" t="str" cm="1">
        <f t="array" aca="1" ref="H204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168),"")</f>
        <v/>
      </c>
      <c r="I204" s="86" t="str" cm="1">
        <f t="array" aca="1" ref="I204" ca="1">IF(H204="","",IF(INDIRECT("'"&amp;$Q$3&amp;"'!"&amp;$Q$7&amp;(H204+1))=1,"ON","OFF"))</f>
        <v/>
      </c>
      <c r="J204" s="87" t="str" cm="1">
        <f t="array" aca="1" ref="J204" ca="1">IF(H204="","",IFERROR((INDIRECT("'"&amp;$Q$3&amp;"'!A"&amp;(H204+1))-INDIRECT("'"&amp;$Q$3&amp;"'!A2"))*86400,""))</f>
        <v/>
      </c>
      <c r="K204" s="88" t="str">
        <f t="shared" ca="1" si="12"/>
        <v/>
      </c>
    </row>
    <row r="205" spans="1:11" x14ac:dyDescent="0.25">
      <c r="A205" s="60">
        <v>169</v>
      </c>
      <c r="B205" s="86" t="str" cm="1">
        <f t="array" aca="1" ref="B205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169),"")</f>
        <v/>
      </c>
      <c r="C205" s="86" t="str" cm="1">
        <f t="array" aca="1" ref="C205" ca="1">IF(B205="","",IF(INDIRECT("'"&amp;$Q$3&amp;"'!"&amp;$Q$6&amp;(B205+1))=1,"ON","OFF"))</f>
        <v/>
      </c>
      <c r="D205" s="87" t="str" cm="1">
        <f t="array" aca="1" ref="D205" ca="1">IF(B205="","",IFERROR((INDIRECT("'"&amp;$Q$3&amp;"'!A"&amp;(B205+1))-INDIRECT("'"&amp;$Q$3&amp;"'!A2"))*86400,""))</f>
        <v/>
      </c>
      <c r="E205" s="88" t="str">
        <f t="shared" ca="1" si="11"/>
        <v/>
      </c>
      <c r="G205" s="60">
        <v>169</v>
      </c>
      <c r="H205" s="86" t="str" cm="1">
        <f t="array" aca="1" ref="H205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169),"")</f>
        <v/>
      </c>
      <c r="I205" s="86" t="str" cm="1">
        <f t="array" aca="1" ref="I205" ca="1">IF(H205="","",IF(INDIRECT("'"&amp;$Q$3&amp;"'!"&amp;$Q$7&amp;(H205+1))=1,"ON","OFF"))</f>
        <v/>
      </c>
      <c r="J205" s="87" t="str" cm="1">
        <f t="array" aca="1" ref="J205" ca="1">IF(H205="","",IFERROR((INDIRECT("'"&amp;$Q$3&amp;"'!A"&amp;(H205+1))-INDIRECT("'"&amp;$Q$3&amp;"'!A2"))*86400,""))</f>
        <v/>
      </c>
      <c r="K205" s="88" t="str">
        <f t="shared" ca="1" si="12"/>
        <v/>
      </c>
    </row>
    <row r="206" spans="1:11" x14ac:dyDescent="0.25">
      <c r="A206" s="61">
        <v>170</v>
      </c>
      <c r="B206" s="89" t="str" cm="1">
        <f t="array" aca="1" ref="B206" ca="1">IFERROR(SMALL(IF(INDIRECT("'"&amp;$Q$3&amp;"'!"&amp;$Q$6&amp;"2:"&amp;$Q$6&amp;$Q$13)&lt;&gt;INDIRECT("'"&amp;$Q$3&amp;"'!"&amp;$Q$6&amp;"3:"&amp;$Q$6&amp;($Q$13+1)),ROW(INDIRECT("'"&amp;$Q$3&amp;"'!"&amp;$Q$6&amp;"2:"&amp;$Q$6&amp;$Q$13))-ROW(INDIRECT("'"&amp;$Q$3&amp;"'!"&amp;$Q$6&amp;"2"))+1),170),"")</f>
        <v/>
      </c>
      <c r="C206" s="89" t="str" cm="1">
        <f t="array" aca="1" ref="C206" ca="1">IF(B206="","",IF(INDIRECT("'"&amp;$Q$3&amp;"'!"&amp;$Q$6&amp;(B206+1))=1,"ON","OFF"))</f>
        <v/>
      </c>
      <c r="D206" s="90" t="str" cm="1">
        <f t="array" aca="1" ref="D206" ca="1">IF(B206="","",IFERROR((INDIRECT("'"&amp;$Q$3&amp;"'!A"&amp;(B206+1))-INDIRECT("'"&amp;$Q$3&amp;"'!A2"))*86400,""))</f>
        <v/>
      </c>
      <c r="E206" s="91" t="str">
        <f t="shared" ca="1" si="11"/>
        <v/>
      </c>
      <c r="G206" s="61">
        <v>170</v>
      </c>
      <c r="H206" s="89" t="str" cm="1">
        <f t="array" aca="1" ref="H206" ca="1">IFERROR(SMALL(IF(INDIRECT("'"&amp;$Q$3&amp;"'!"&amp;$Q$7&amp;"2:"&amp;$Q$7&amp;$Q$13)&lt;&gt;INDIRECT("'"&amp;$Q$3&amp;"'!"&amp;$Q$7&amp;"3:"&amp;$Q$7&amp;($Q$13+1)),ROW(INDIRECT("'"&amp;$Q$3&amp;"'!"&amp;$Q$7&amp;"2:"&amp;$Q$7&amp;$Q$13))-ROW(INDIRECT("'"&amp;$Q$3&amp;"'!"&amp;$Q$7&amp;"2"))+1),170),"")</f>
        <v/>
      </c>
      <c r="I206" s="89" t="str" cm="1">
        <f t="array" aca="1" ref="I206" ca="1">IF(H206="","",IF(INDIRECT("'"&amp;$Q$3&amp;"'!"&amp;$Q$7&amp;(H206+1))=1,"ON","OFF"))</f>
        <v/>
      </c>
      <c r="J206" s="90" t="str" cm="1">
        <f t="array" aca="1" ref="J206" ca="1">IF(H206="","",IFERROR((INDIRECT("'"&amp;$Q$3&amp;"'!A"&amp;(H206+1))-INDIRECT("'"&amp;$Q$3&amp;"'!A2"))*86400,""))</f>
        <v/>
      </c>
      <c r="K206" s="91" t="str">
        <f t="shared" ca="1" si="12"/>
        <v/>
      </c>
    </row>
  </sheetData>
  <sheetProtection algorithmName="SHA-512" hashValue="/GTmON/sRZB3GvxNd7Wrvc6Z1RwlUpP6gCrwo20uu7ARVZ7uLsf/cwmcwrMqiiC/akGoJ6x9weSaZZzE9zG3qA==" saltValue="lD9p4hM3C8TPpRtVSbFYgg==" spinCount="100000" sheet="1" objects="1" scenarios="1"/>
  <mergeCells count="10">
    <mergeCell ref="A24:D24"/>
    <mergeCell ref="A35:E35"/>
    <mergeCell ref="G35:K35"/>
    <mergeCell ref="X29:AA29"/>
    <mergeCell ref="A1:E1"/>
    <mergeCell ref="A14:E14"/>
    <mergeCell ref="G1:K1"/>
    <mergeCell ref="G14:K14"/>
    <mergeCell ref="A3:D3"/>
    <mergeCell ref="G3:J3"/>
  </mergeCells>
  <conditionalFormatting sqref="C37:C76">
    <cfRule type="expression" dxfId="3" priority="1">
      <formula>C37="ON"</formula>
    </cfRule>
    <cfRule type="expression" dxfId="2" priority="2">
      <formula>C37="OFF"</formula>
    </cfRule>
  </conditionalFormatting>
  <conditionalFormatting sqref="I37:I76">
    <cfRule type="expression" dxfId="1" priority="3">
      <formula>I37="ON"</formula>
    </cfRule>
    <cfRule type="expression" dxfId="0" priority="4">
      <formula>I37="OFF"</formula>
    </cfRule>
  </conditionalFormatting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92285-CEF6-4A8A-97FE-E8736A38B559}">
  <dimension ref="A1:S994"/>
  <sheetViews>
    <sheetView workbookViewId="0"/>
  </sheetViews>
  <sheetFormatPr defaultRowHeight="15" x14ac:dyDescent="0.25"/>
  <cols>
    <col min="1" max="1" width="10.28515625" bestFit="1" customWidth="1"/>
    <col min="2" max="2" width="6.85546875" bestFit="1" customWidth="1"/>
    <col min="3" max="3" width="11.85546875" bestFit="1" customWidth="1"/>
    <col min="4" max="12" width="7.140625" bestFit="1" customWidth="1"/>
    <col min="13" max="19" width="8.140625" bestFit="1" customWidth="1"/>
  </cols>
  <sheetData>
    <row r="1" spans="1:19" x14ac:dyDescent="0.25">
      <c r="A1" t="s">
        <v>145</v>
      </c>
      <c r="B1" t="s">
        <v>146</v>
      </c>
      <c r="C1" t="s">
        <v>0</v>
      </c>
      <c r="D1" t="s">
        <v>115</v>
      </c>
      <c r="E1" t="s">
        <v>116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</row>
    <row r="2" spans="1:19" x14ac:dyDescent="0.25">
      <c r="A2" s="1">
        <v>0.62923259259259257</v>
      </c>
      <c r="B2" t="s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s="1">
        <v>0.62923270833333333</v>
      </c>
      <c r="B3" t="s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s="1">
        <v>0.6292328240740741</v>
      </c>
      <c r="B4" t="s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s="1">
        <v>0.62923305555555553</v>
      </c>
      <c r="B5" t="s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s="1">
        <v>0.6292331712962963</v>
      </c>
      <c r="B6" t="s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s="1">
        <v>0.62923328703703707</v>
      </c>
      <c r="B7" t="s">
        <v>2</v>
      </c>
      <c r="C7">
        <v>6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s="1">
        <v>0.62923340277777773</v>
      </c>
      <c r="B8" t="s">
        <v>2</v>
      </c>
      <c r="C8">
        <v>7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s="1">
        <v>0.6292335185185185</v>
      </c>
      <c r="B9" t="s">
        <v>2</v>
      </c>
      <c r="C9">
        <v>8</v>
      </c>
      <c r="D9">
        <v>0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s="1">
        <v>0.62923363425925927</v>
      </c>
      <c r="B10" t="s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s="1">
        <v>0.62923375000000004</v>
      </c>
      <c r="B11" t="s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s="1">
        <v>0.62923386574074069</v>
      </c>
      <c r="B12" t="s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s="1">
        <v>0.62923398148148146</v>
      </c>
      <c r="B13" t="s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1">
        <v>0.62923409722222223</v>
      </c>
      <c r="B14" t="s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5">
      <c r="A15" s="1">
        <v>0.629234212962963</v>
      </c>
      <c r="B15" t="s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5">
      <c r="A16" s="1">
        <v>0.62923432870370366</v>
      </c>
      <c r="B16" t="s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5">
      <c r="A17" s="1">
        <v>0.62923444444444443</v>
      </c>
      <c r="B17" t="s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1">
        <v>0.6292345601851852</v>
      </c>
      <c r="B18" t="s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5">
      <c r="A19" s="1">
        <v>0.62923467592592597</v>
      </c>
      <c r="B19" t="s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5">
      <c r="A20" s="1">
        <v>0.62923479166666663</v>
      </c>
      <c r="B20" t="s">
        <v>1</v>
      </c>
      <c r="C20">
        <v>19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5">
      <c r="A21" s="1">
        <v>0.6292349074074074</v>
      </c>
      <c r="B21" t="s">
        <v>1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s="1">
        <v>0.62923502314814816</v>
      </c>
      <c r="B22" t="s">
        <v>1</v>
      </c>
      <c r="C22">
        <v>21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5">
      <c r="A23" s="1">
        <v>0.62923513888888893</v>
      </c>
      <c r="B23" t="s">
        <v>1</v>
      </c>
      <c r="C23">
        <v>22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5">
      <c r="A24" s="1">
        <v>0.62923525462962959</v>
      </c>
      <c r="B24" t="s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5">
      <c r="A25" s="1">
        <v>0.62923537037037036</v>
      </c>
      <c r="B25" t="s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5">
      <c r="A26" s="1">
        <v>0.62923548611111113</v>
      </c>
      <c r="B26" t="s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5">
      <c r="A27" s="1">
        <v>0.6292356018518519</v>
      </c>
      <c r="B27" t="s">
        <v>2</v>
      </c>
      <c r="C27">
        <v>26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5">
      <c r="A28" s="1">
        <v>0.62923571759259256</v>
      </c>
      <c r="B28" t="s">
        <v>2</v>
      </c>
      <c r="C28">
        <v>27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5">
      <c r="A29" s="1">
        <v>0.62923583333333333</v>
      </c>
      <c r="B29" t="s">
        <v>2</v>
      </c>
      <c r="C29">
        <v>28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5">
      <c r="A30" s="1">
        <v>0.6292359490740741</v>
      </c>
      <c r="B30" t="s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5">
      <c r="A31" s="1">
        <v>0.62923605324074072</v>
      </c>
      <c r="B31" t="s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5">
      <c r="A32" s="1">
        <v>0.62923616898148149</v>
      </c>
      <c r="B32" t="s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5">
      <c r="A33" s="1">
        <v>0.62923628472222226</v>
      </c>
      <c r="B33" t="s">
        <v>1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s="1">
        <v>0.62923640046296292</v>
      </c>
      <c r="B34" t="s">
        <v>1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5">
      <c r="A35" s="1">
        <v>0.62923651620370369</v>
      </c>
      <c r="B35" t="s">
        <v>1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s="1">
        <v>0.62923663194444446</v>
      </c>
      <c r="B36" t="s">
        <v>1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5">
      <c r="A37" s="1">
        <v>0.62923674768518523</v>
      </c>
      <c r="B37" t="s">
        <v>1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s="1">
        <v>0.62923686342592589</v>
      </c>
      <c r="B38" t="s">
        <v>1</v>
      </c>
      <c r="C38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5">
      <c r="A39" s="1">
        <v>0.62923699074074069</v>
      </c>
      <c r="B39" t="s">
        <v>1</v>
      </c>
      <c r="C39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1">
        <v>0.62923709490740742</v>
      </c>
      <c r="B40" t="s">
        <v>1</v>
      </c>
      <c r="C40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5">
      <c r="A41" s="1">
        <v>0.62923721064814819</v>
      </c>
      <c r="B41" t="s">
        <v>1</v>
      </c>
      <c r="C41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s="1">
        <v>0.62923732638888885</v>
      </c>
      <c r="B42" t="s">
        <v>1</v>
      </c>
      <c r="C42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5">
      <c r="A43" s="1">
        <v>0.62923744212962962</v>
      </c>
      <c r="B43" t="s">
        <v>1</v>
      </c>
      <c r="C43">
        <v>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s="1">
        <v>0.62923755787037039</v>
      </c>
      <c r="B44" t="s">
        <v>1</v>
      </c>
      <c r="C44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5">
      <c r="A45" s="1">
        <v>0.62923767361111116</v>
      </c>
      <c r="B45" t="s">
        <v>1</v>
      </c>
      <c r="C45">
        <v>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s="1">
        <v>0.62923780092592596</v>
      </c>
      <c r="B46" t="s">
        <v>1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5">
      <c r="A47" s="1">
        <v>0.62923790509259259</v>
      </c>
      <c r="B47" t="s">
        <v>2</v>
      </c>
      <c r="C47">
        <v>46</v>
      </c>
      <c r="D47">
        <v>0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s="1">
        <v>0.62923802083333336</v>
      </c>
      <c r="B48" t="s">
        <v>2</v>
      </c>
      <c r="C48">
        <v>47</v>
      </c>
      <c r="D48">
        <v>0</v>
      </c>
      <c r="E48">
        <v>1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5">
      <c r="A49" s="1">
        <v>0.62923813657407413</v>
      </c>
      <c r="B49" t="s">
        <v>2</v>
      </c>
      <c r="C49">
        <v>48</v>
      </c>
      <c r="D49">
        <v>0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1">
        <v>0.62923825231481478</v>
      </c>
      <c r="B50" t="s">
        <v>1</v>
      </c>
      <c r="C50">
        <v>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5">
      <c r="A51" s="1">
        <v>0.62923836805555555</v>
      </c>
      <c r="B51" t="s">
        <v>1</v>
      </c>
      <c r="C51">
        <v>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5">
      <c r="A52" s="1">
        <v>0.62923848379629632</v>
      </c>
      <c r="B52" t="s">
        <v>1</v>
      </c>
      <c r="C52">
        <v>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5">
      <c r="A53" s="1">
        <v>0.62923859953703709</v>
      </c>
      <c r="B53" t="s">
        <v>1</v>
      </c>
      <c r="C53">
        <v>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5">
      <c r="A54" s="1">
        <v>0.62923871527777775</v>
      </c>
      <c r="B54" t="s">
        <v>1</v>
      </c>
      <c r="C54">
        <v>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5">
      <c r="A55" s="1">
        <v>0.62923883101851852</v>
      </c>
      <c r="B55" t="s">
        <v>1</v>
      </c>
      <c r="C55">
        <v>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5">
      <c r="A56" s="1">
        <v>0.62923894675925929</v>
      </c>
      <c r="B56" t="s">
        <v>1</v>
      </c>
      <c r="C56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5">
      <c r="A57" s="1">
        <v>0.62923906249999995</v>
      </c>
      <c r="B57" t="s">
        <v>1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5">
      <c r="A58" s="1">
        <v>0.62923917824074072</v>
      </c>
      <c r="B58" t="s">
        <v>1</v>
      </c>
      <c r="C58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5">
      <c r="A59" s="1">
        <v>0.62923929398148148</v>
      </c>
      <c r="B59" t="s">
        <v>1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5">
      <c r="A60" s="1">
        <v>0.62923940972222225</v>
      </c>
      <c r="B60" t="s">
        <v>1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5">
      <c r="A61" s="1">
        <v>0.62923953703703706</v>
      </c>
      <c r="B61" t="s">
        <v>1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5">
      <c r="A62" s="1">
        <v>0.62923964120370368</v>
      </c>
      <c r="B62" t="s">
        <v>1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1">
        <v>0.62923975694444445</v>
      </c>
      <c r="B63" t="s">
        <v>1</v>
      </c>
      <c r="C63">
        <v>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5">
      <c r="A64" s="1">
        <v>0.62923987268518522</v>
      </c>
      <c r="B64" t="s">
        <v>1</v>
      </c>
      <c r="C64">
        <v>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5">
      <c r="A65" s="1">
        <v>0.62923998842592588</v>
      </c>
      <c r="B65" t="s">
        <v>1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5">
      <c r="A66" s="1">
        <v>0.62924010416666665</v>
      </c>
      <c r="B66" t="s">
        <v>1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5">
      <c r="A67" s="1">
        <v>0.62924021990740742</v>
      </c>
      <c r="B67" t="s">
        <v>2</v>
      </c>
      <c r="C67">
        <v>66</v>
      </c>
      <c r="D67">
        <v>0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5">
      <c r="A68" s="1">
        <v>0.62924033564814819</v>
      </c>
      <c r="B68" t="s">
        <v>2</v>
      </c>
      <c r="C68">
        <v>67</v>
      </c>
      <c r="D68">
        <v>0</v>
      </c>
      <c r="E68">
        <v>1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5">
      <c r="A69" s="1">
        <v>0.62924045138888884</v>
      </c>
      <c r="B69" t="s">
        <v>2</v>
      </c>
      <c r="C69">
        <v>68</v>
      </c>
      <c r="D69">
        <v>0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5">
      <c r="A70" s="1">
        <v>0.62924056712962961</v>
      </c>
      <c r="B70" t="s">
        <v>1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5">
      <c r="A71" s="1">
        <v>0.62924068287037038</v>
      </c>
      <c r="B71" t="s">
        <v>1</v>
      </c>
      <c r="C71">
        <v>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5">
      <c r="A72" s="1">
        <v>0.62924079861111115</v>
      </c>
      <c r="B72" t="s">
        <v>1</v>
      </c>
      <c r="C72">
        <v>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5">
      <c r="A73" s="1">
        <v>0.62924091435185181</v>
      </c>
      <c r="B73" t="s">
        <v>1</v>
      </c>
      <c r="C73">
        <v>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5">
      <c r="A74" s="1">
        <v>0.62924103009259258</v>
      </c>
      <c r="B74" t="s">
        <v>1</v>
      </c>
      <c r="C74">
        <v>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5">
      <c r="A75" s="1">
        <v>0.62924114583333335</v>
      </c>
      <c r="B75" t="s">
        <v>1</v>
      </c>
      <c r="C75">
        <v>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5">
      <c r="A76" s="1">
        <v>0.62924126157407412</v>
      </c>
      <c r="B76" t="s">
        <v>1</v>
      </c>
      <c r="C76">
        <v>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5">
      <c r="A77" s="1">
        <v>0.62924137731481478</v>
      </c>
      <c r="B77" t="s">
        <v>1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5">
      <c r="A78" s="1">
        <v>0.62924149305555555</v>
      </c>
      <c r="B78" t="s">
        <v>1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5">
      <c r="A79" s="1">
        <v>0.62924160879629631</v>
      </c>
      <c r="B79" t="s">
        <v>1</v>
      </c>
      <c r="C79">
        <v>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5">
      <c r="A80" s="1">
        <v>0.62924172453703708</v>
      </c>
      <c r="B80" t="s">
        <v>1</v>
      </c>
      <c r="C80">
        <v>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5">
      <c r="A81" s="1">
        <v>0.62924184027777774</v>
      </c>
      <c r="B81" t="s">
        <v>1</v>
      </c>
      <c r="C81">
        <v>80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5">
      <c r="A82" s="1">
        <v>0.62924195601851851</v>
      </c>
      <c r="B82" t="s">
        <v>1</v>
      </c>
      <c r="C82">
        <v>81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1">
        <v>0.62924207175925928</v>
      </c>
      <c r="B83" t="s">
        <v>1</v>
      </c>
      <c r="C83">
        <v>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5">
      <c r="A84" s="1">
        <v>0.62924218750000005</v>
      </c>
      <c r="B84" t="s">
        <v>1</v>
      </c>
      <c r="C84">
        <v>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5">
      <c r="A85" s="1">
        <v>0.62924230324074071</v>
      </c>
      <c r="B85" t="s">
        <v>1</v>
      </c>
      <c r="C85">
        <v>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5">
      <c r="A86" s="1">
        <v>0.62924240740740744</v>
      </c>
      <c r="B86" t="s">
        <v>1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5">
      <c r="A87" s="1">
        <v>0.6292425231481481</v>
      </c>
      <c r="B87" t="s">
        <v>1</v>
      </c>
      <c r="C87">
        <v>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5">
      <c r="A88" s="1">
        <v>0.62924263888888887</v>
      </c>
      <c r="B88" t="s">
        <v>2</v>
      </c>
      <c r="C88">
        <v>87</v>
      </c>
      <c r="D88">
        <v>0</v>
      </c>
      <c r="E88">
        <v>1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5">
      <c r="A89" s="1">
        <v>0.62924276620370367</v>
      </c>
      <c r="B89" t="s">
        <v>2</v>
      </c>
      <c r="C89">
        <v>88</v>
      </c>
      <c r="D89">
        <v>0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5">
      <c r="A90" s="1">
        <v>0.62924288194444444</v>
      </c>
      <c r="B90" t="s">
        <v>1</v>
      </c>
      <c r="C90">
        <v>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5">
      <c r="A91" s="1">
        <v>0.62924299768518521</v>
      </c>
      <c r="B91" t="s">
        <v>1</v>
      </c>
      <c r="C91">
        <v>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5">
      <c r="A92" s="1">
        <v>0.62924310185185184</v>
      </c>
      <c r="B92" t="s">
        <v>1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5">
      <c r="A93" s="1">
        <v>0.62924321759259261</v>
      </c>
      <c r="B93" t="s">
        <v>1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5">
      <c r="A94" s="1">
        <v>0.62924333333333338</v>
      </c>
      <c r="B94" t="s">
        <v>1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5">
      <c r="A95" s="1">
        <v>0.62924344907407403</v>
      </c>
      <c r="B95" t="s">
        <v>1</v>
      </c>
      <c r="C95">
        <v>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5">
      <c r="A96" s="1">
        <v>0.6292435648148148</v>
      </c>
      <c r="B96" t="s">
        <v>1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5">
      <c r="A97" s="1">
        <v>0.62924368055555557</v>
      </c>
      <c r="B97" t="s">
        <v>1</v>
      </c>
      <c r="C97">
        <v>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5">
      <c r="A98" s="1">
        <v>0.62924380787037038</v>
      </c>
      <c r="B98" t="s">
        <v>1</v>
      </c>
      <c r="C98">
        <v>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5">
      <c r="A99" s="1">
        <v>0.629243912037037</v>
      </c>
      <c r="B99" t="s">
        <v>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5">
      <c r="A100" s="1">
        <v>0.62924402777777777</v>
      </c>
      <c r="B100" t="s">
        <v>1</v>
      </c>
      <c r="C100">
        <v>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5">
      <c r="A101" s="1">
        <v>0.62924415509259257</v>
      </c>
      <c r="B101" t="s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5">
      <c r="A102" s="1">
        <v>0.62924425925925931</v>
      </c>
      <c r="B102" t="s">
        <v>1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5">
      <c r="A103" s="1">
        <v>0.62924437499999997</v>
      </c>
      <c r="B103" t="s">
        <v>1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5">
      <c r="A104" s="1">
        <v>0.62924461805555554</v>
      </c>
      <c r="B104" t="s">
        <v>1</v>
      </c>
      <c r="C104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5">
      <c r="A105" s="1">
        <v>0.62924472222222227</v>
      </c>
      <c r="B105" t="s">
        <v>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5">
      <c r="A106" s="1">
        <v>0.62924483796296293</v>
      </c>
      <c r="B106" t="s">
        <v>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5">
      <c r="A107" s="1">
        <v>0.6292449537037037</v>
      </c>
      <c r="B107" t="s">
        <v>2</v>
      </c>
      <c r="C107">
        <v>106</v>
      </c>
      <c r="D107">
        <v>0</v>
      </c>
      <c r="E107">
        <v>1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5">
      <c r="A108" s="1">
        <v>0.62924506944444447</v>
      </c>
      <c r="B108" t="s">
        <v>2</v>
      </c>
      <c r="C108">
        <v>107</v>
      </c>
      <c r="D108">
        <v>0</v>
      </c>
      <c r="E108">
        <v>1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5">
      <c r="A109" s="1">
        <v>0.62924518518518524</v>
      </c>
      <c r="B109" t="s">
        <v>1</v>
      </c>
      <c r="C109">
        <v>108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5">
      <c r="A110" s="1">
        <v>0.6292453009259259</v>
      </c>
      <c r="B110" t="s">
        <v>1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5">
      <c r="A111" s="1">
        <v>0.6292454282407407</v>
      </c>
      <c r="B111" t="s">
        <v>1</v>
      </c>
      <c r="C111">
        <v>110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5">
      <c r="A112" s="1">
        <v>0.62924553240740744</v>
      </c>
      <c r="B112" t="s">
        <v>1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5">
      <c r="A113" s="1">
        <v>0.6292456481481481</v>
      </c>
      <c r="B113" t="s">
        <v>1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 x14ac:dyDescent="0.25">
      <c r="A114" s="1">
        <v>0.62924576388888886</v>
      </c>
      <c r="B114" t="s">
        <v>1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5">
      <c r="A115" s="1">
        <v>0.62924587962962963</v>
      </c>
      <c r="B115" t="s">
        <v>1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5">
      <c r="A116" s="1">
        <v>0.6292459953703704</v>
      </c>
      <c r="B116" t="s">
        <v>1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5">
      <c r="A117" s="1">
        <v>0.62924611111111106</v>
      </c>
      <c r="B117" t="s">
        <v>1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5">
      <c r="A118" s="1">
        <v>0.62924622685185183</v>
      </c>
      <c r="B118" t="s">
        <v>1</v>
      </c>
      <c r="C118">
        <v>117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5">
      <c r="A119" s="1">
        <v>0.6292463425925926</v>
      </c>
      <c r="B119" t="s">
        <v>1</v>
      </c>
      <c r="C119">
        <v>118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5">
      <c r="A120" s="1">
        <v>0.62924645833333337</v>
      </c>
      <c r="B120" t="s">
        <v>1</v>
      </c>
      <c r="C120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5">
      <c r="A121" s="1">
        <v>0.62924657407407403</v>
      </c>
      <c r="B121" t="s">
        <v>1</v>
      </c>
      <c r="C121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5">
      <c r="A122" s="1">
        <v>0.6292466898148148</v>
      </c>
      <c r="B122" t="s">
        <v>1</v>
      </c>
      <c r="C122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5">
      <c r="A123" s="1">
        <v>0.62924680555555557</v>
      </c>
      <c r="B123" t="s">
        <v>1</v>
      </c>
      <c r="C123">
        <v>122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5">
      <c r="A124" s="1">
        <v>0.62924692129629634</v>
      </c>
      <c r="B124" t="s">
        <v>1</v>
      </c>
      <c r="C124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5">
      <c r="A125" s="1">
        <v>0.62924703703703699</v>
      </c>
      <c r="B125" t="s">
        <v>1</v>
      </c>
      <c r="C125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5">
      <c r="A126" s="1">
        <v>0.62924715277777776</v>
      </c>
      <c r="B126" t="s">
        <v>1</v>
      </c>
      <c r="C126">
        <v>125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5">
      <c r="A127" s="1">
        <v>0.62924726851851853</v>
      </c>
      <c r="B127" t="s">
        <v>2</v>
      </c>
      <c r="C127">
        <v>126</v>
      </c>
      <c r="D127">
        <v>0</v>
      </c>
      <c r="E127">
        <v>1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5">
      <c r="A128" s="1">
        <v>0.6292473842592593</v>
      </c>
      <c r="B128" t="s">
        <v>2</v>
      </c>
      <c r="C128">
        <v>127</v>
      </c>
      <c r="D128">
        <v>0</v>
      </c>
      <c r="E128">
        <v>1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5">
      <c r="A129" s="1">
        <v>0.62924749999999996</v>
      </c>
      <c r="B129" t="s">
        <v>1</v>
      </c>
      <c r="C129">
        <v>128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5">
      <c r="A130" s="1">
        <v>0.62924761574074073</v>
      </c>
      <c r="B130" t="s">
        <v>1</v>
      </c>
      <c r="C130">
        <v>129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s="1">
        <v>0.6292477314814815</v>
      </c>
      <c r="B131" t="s">
        <v>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5">
      <c r="A132" s="1">
        <v>0.62924784722222227</v>
      </c>
      <c r="B132" t="s">
        <v>1</v>
      </c>
      <c r="C132">
        <v>131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5">
      <c r="A133" s="1">
        <v>0.62924796296296293</v>
      </c>
      <c r="B133" t="s">
        <v>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5">
      <c r="A134" s="1">
        <v>0.62924807870370369</v>
      </c>
      <c r="B134" t="s">
        <v>1</v>
      </c>
      <c r="C134">
        <v>133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 x14ac:dyDescent="0.25">
      <c r="A135" s="1">
        <v>0.62924819444444446</v>
      </c>
      <c r="B135" t="s">
        <v>1</v>
      </c>
      <c r="C135">
        <v>134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5">
      <c r="A136" s="1">
        <v>0.62924831018518523</v>
      </c>
      <c r="B136" t="s">
        <v>1</v>
      </c>
      <c r="C136">
        <v>135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1">
        <v>0.62924842592592589</v>
      </c>
      <c r="B137" t="s">
        <v>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5">
      <c r="A138" s="1">
        <v>0.62924854166666666</v>
      </c>
      <c r="B138" t="s">
        <v>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5">
      <c r="A139" s="1">
        <v>0.62924865740740743</v>
      </c>
      <c r="B139" t="s">
        <v>1</v>
      </c>
      <c r="C139">
        <v>138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5">
      <c r="A140" s="1">
        <v>0.6292487731481482</v>
      </c>
      <c r="B140" t="s">
        <v>1</v>
      </c>
      <c r="C140">
        <v>139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5">
      <c r="A141" s="1">
        <v>0.62924888888888886</v>
      </c>
      <c r="B141" t="s">
        <v>1</v>
      </c>
      <c r="C141">
        <v>140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5">
      <c r="A142" s="1">
        <v>0.62924900462962963</v>
      </c>
      <c r="B142" t="s">
        <v>1</v>
      </c>
      <c r="C142">
        <v>141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5">
      <c r="A143" s="1">
        <v>0.6292491203703704</v>
      </c>
      <c r="B143" t="s">
        <v>1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5">
      <c r="A144" s="1">
        <v>0.62924923611111117</v>
      </c>
      <c r="B144" t="s">
        <v>1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5">
      <c r="A145" s="1">
        <v>0.62924935185185182</v>
      </c>
      <c r="B145" t="s">
        <v>1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5">
      <c r="A146" s="1">
        <v>0.62924946759259259</v>
      </c>
      <c r="B146" t="s">
        <v>1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5">
      <c r="A147" s="1">
        <v>0.62924958333333336</v>
      </c>
      <c r="B147" t="s">
        <v>2</v>
      </c>
      <c r="C147">
        <v>146</v>
      </c>
      <c r="D147">
        <v>0</v>
      </c>
      <c r="E147">
        <v>1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1">
        <v>0.62924969907407402</v>
      </c>
      <c r="B148" t="s">
        <v>2</v>
      </c>
      <c r="C148">
        <v>147</v>
      </c>
      <c r="D148">
        <v>0</v>
      </c>
      <c r="E148">
        <v>1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5">
      <c r="A149" s="1">
        <v>0.62924981481481479</v>
      </c>
      <c r="B149" t="s">
        <v>1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5">
      <c r="A150" s="1">
        <v>0.62924993055555556</v>
      </c>
      <c r="B150" t="s">
        <v>1</v>
      </c>
      <c r="C150">
        <v>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5">
      <c r="A151" s="1">
        <v>0.62925004629629633</v>
      </c>
      <c r="B151" t="s">
        <v>1</v>
      </c>
      <c r="C151">
        <v>150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5">
      <c r="A152" s="1">
        <v>0.62925016203703699</v>
      </c>
      <c r="B152" t="s">
        <v>1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s="1">
        <v>0.62925027777777776</v>
      </c>
      <c r="B153" t="s">
        <v>1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5">
      <c r="A154" s="1">
        <v>0.62925038194444449</v>
      </c>
      <c r="B154" t="s">
        <v>1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5">
      <c r="A155" s="1">
        <v>0.62925049768518515</v>
      </c>
      <c r="B155" t="s">
        <v>1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5">
      <c r="A156" s="1">
        <v>0.62925061342592592</v>
      </c>
      <c r="B156" t="s">
        <v>1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5">
      <c r="A157" s="1">
        <v>0.62925074074074072</v>
      </c>
      <c r="B157" t="s">
        <v>1</v>
      </c>
      <c r="C157">
        <v>156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5">
      <c r="A158" s="1">
        <v>0.62925084490740746</v>
      </c>
      <c r="B158" t="s">
        <v>1</v>
      </c>
      <c r="C158">
        <v>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5">
      <c r="A159" s="1">
        <v>0.62925096064814812</v>
      </c>
      <c r="B159" t="s">
        <v>1</v>
      </c>
      <c r="C159">
        <v>158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5">
      <c r="A160" s="1">
        <v>0.62925107638888889</v>
      </c>
      <c r="B160" t="s">
        <v>1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5">
      <c r="A161" s="1">
        <v>0.62925119212962966</v>
      </c>
      <c r="B161" t="s">
        <v>1</v>
      </c>
      <c r="C161">
        <v>160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5">
      <c r="A162" s="1">
        <v>0.62925130787037042</v>
      </c>
      <c r="B162" t="s">
        <v>1</v>
      </c>
      <c r="C162">
        <v>161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5">
      <c r="A163" s="1">
        <v>0.62925142361111108</v>
      </c>
      <c r="B163" t="s">
        <v>1</v>
      </c>
      <c r="C163">
        <v>162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5">
      <c r="A164" s="1">
        <v>0.62925153935185185</v>
      </c>
      <c r="B164" t="s">
        <v>1</v>
      </c>
      <c r="C164">
        <v>163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5">
      <c r="A165" s="1">
        <v>0.62925165509259262</v>
      </c>
      <c r="B165" t="s">
        <v>1</v>
      </c>
      <c r="C165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5">
      <c r="A166" s="1">
        <v>0.62925178240740742</v>
      </c>
      <c r="B166" t="s">
        <v>1</v>
      </c>
      <c r="C166">
        <v>165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5">
      <c r="A167" s="1">
        <v>0.62925188657407405</v>
      </c>
      <c r="B167" t="s">
        <v>2</v>
      </c>
      <c r="C167">
        <v>166</v>
      </c>
      <c r="D167">
        <v>0</v>
      </c>
      <c r="E167">
        <v>1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5">
      <c r="A168" s="1">
        <v>0.62925200231481482</v>
      </c>
      <c r="B168" t="s">
        <v>2</v>
      </c>
      <c r="C168">
        <v>167</v>
      </c>
      <c r="D168">
        <v>0</v>
      </c>
      <c r="E168">
        <v>1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5">
      <c r="A169" s="1">
        <v>0.62925212962962962</v>
      </c>
      <c r="B169" t="s">
        <v>1</v>
      </c>
      <c r="C169">
        <v>168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5">
      <c r="A170" s="1">
        <v>0.62925223379629625</v>
      </c>
      <c r="B170" t="s">
        <v>1</v>
      </c>
      <c r="C170">
        <v>169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5">
      <c r="A171" s="1">
        <v>0.62925234953703701</v>
      </c>
      <c r="B171" t="s">
        <v>1</v>
      </c>
      <c r="C171">
        <v>170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5">
      <c r="A172" s="1">
        <v>0.62925246527777778</v>
      </c>
      <c r="B172" t="s">
        <v>1</v>
      </c>
      <c r="C172">
        <v>171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5">
      <c r="A173" s="1">
        <v>0.62925258101851855</v>
      </c>
      <c r="B173" t="s">
        <v>1</v>
      </c>
      <c r="C173">
        <v>172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5">
      <c r="A174" s="1">
        <v>0.62925269675925921</v>
      </c>
      <c r="B174" t="s">
        <v>1</v>
      </c>
      <c r="C174">
        <v>173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5">
      <c r="A175" s="1">
        <v>0.62925281249999998</v>
      </c>
      <c r="B175" t="s">
        <v>1</v>
      </c>
      <c r="C175">
        <v>174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5">
      <c r="A176" s="1">
        <v>0.62925292824074075</v>
      </c>
      <c r="B176" t="s">
        <v>1</v>
      </c>
      <c r="C176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5">
      <c r="A177" s="1">
        <v>0.62925304398148152</v>
      </c>
      <c r="B177" t="s">
        <v>1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5">
      <c r="A178" s="1">
        <v>0.62925315972222218</v>
      </c>
      <c r="B178" t="s">
        <v>1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1">
        <v>0.62925327546296295</v>
      </c>
      <c r="B179" t="s">
        <v>1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5">
      <c r="A180" s="1">
        <v>0.62925339120370372</v>
      </c>
      <c r="B180" t="s">
        <v>1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1">
        <v>0.62925350694444449</v>
      </c>
      <c r="B181" t="s">
        <v>1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5">
      <c r="A182" s="1">
        <v>0.62925362268518514</v>
      </c>
      <c r="B182" t="s">
        <v>1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5">
      <c r="A183" s="1">
        <v>0.62925373842592591</v>
      </c>
      <c r="B183" t="s">
        <v>1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5">
      <c r="A184" s="1">
        <v>0.62925385416666668</v>
      </c>
      <c r="B184" t="s">
        <v>1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5">
      <c r="A185" s="1">
        <v>0.62925396990740745</v>
      </c>
      <c r="B185" t="s">
        <v>1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5">
      <c r="A186" s="1">
        <v>0.62925408564814811</v>
      </c>
      <c r="B186" t="s">
        <v>1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5">
      <c r="A187" s="1">
        <v>0.62925420138888888</v>
      </c>
      <c r="B187" t="s">
        <v>2</v>
      </c>
      <c r="C187">
        <v>186</v>
      </c>
      <c r="D187">
        <v>0</v>
      </c>
      <c r="E187">
        <v>1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5">
      <c r="A188" s="1">
        <v>0.62925431712962965</v>
      </c>
      <c r="B188" t="s">
        <v>2</v>
      </c>
      <c r="C188">
        <v>187</v>
      </c>
      <c r="D188">
        <v>0</v>
      </c>
      <c r="E188">
        <v>1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5">
      <c r="A189" s="1">
        <v>0.62925443287037042</v>
      </c>
      <c r="B189" t="s">
        <v>1</v>
      </c>
      <c r="C189">
        <v>188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5">
      <c r="A190" s="1">
        <v>0.62925454861111108</v>
      </c>
      <c r="B190" t="s">
        <v>1</v>
      </c>
      <c r="C190">
        <v>189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5">
      <c r="A191" s="1">
        <v>0.62925466435185184</v>
      </c>
      <c r="B191" t="s">
        <v>1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 x14ac:dyDescent="0.25">
      <c r="A192" s="1">
        <v>0.62925476851851847</v>
      </c>
      <c r="B192" t="s">
        <v>1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5">
      <c r="A193" s="1">
        <v>0.62925489583333338</v>
      </c>
      <c r="B193" t="s">
        <v>1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5">
      <c r="A194" s="1">
        <v>0.62925501157407404</v>
      </c>
      <c r="B194" t="s">
        <v>1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5">
      <c r="A195" s="1">
        <v>0.62925512731481481</v>
      </c>
      <c r="B195" t="s">
        <v>1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5">
      <c r="A196" s="1">
        <v>0.62925524305555558</v>
      </c>
      <c r="B196" t="s">
        <v>1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 x14ac:dyDescent="0.25">
      <c r="A197" s="1">
        <v>0.62925535879629635</v>
      </c>
      <c r="B197" t="s">
        <v>1</v>
      </c>
      <c r="C197">
        <v>196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5">
      <c r="A198" s="1">
        <v>0.62925547453703701</v>
      </c>
      <c r="B198" t="s">
        <v>1</v>
      </c>
      <c r="C198">
        <v>197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5">
      <c r="A199" s="1">
        <v>0.62925559027777778</v>
      </c>
      <c r="B199" t="s">
        <v>1</v>
      </c>
      <c r="C199">
        <v>198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5">
      <c r="A200" s="1">
        <v>0.62925570601851855</v>
      </c>
      <c r="B200" t="s">
        <v>1</v>
      </c>
      <c r="C200">
        <v>199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 x14ac:dyDescent="0.25">
      <c r="A201" s="1">
        <v>0.6292558217592592</v>
      </c>
      <c r="B201" t="s">
        <v>1</v>
      </c>
      <c r="C201">
        <v>200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5">
      <c r="A202" s="1">
        <v>0.62925593749999997</v>
      </c>
      <c r="B202" t="s">
        <v>1</v>
      </c>
      <c r="C202">
        <v>201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 x14ac:dyDescent="0.25">
      <c r="A203" s="1">
        <v>0.62925616898148151</v>
      </c>
      <c r="B203" t="s">
        <v>1</v>
      </c>
      <c r="C203">
        <v>202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5">
      <c r="A204" s="1">
        <v>0.62925627314814814</v>
      </c>
      <c r="B204" t="s">
        <v>1</v>
      </c>
      <c r="C204">
        <v>203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5">
      <c r="A205" s="1">
        <v>0.62925640046296294</v>
      </c>
      <c r="B205" t="s">
        <v>1</v>
      </c>
      <c r="C205">
        <v>204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5">
      <c r="A206" s="1">
        <v>0.62925650462962968</v>
      </c>
      <c r="B206" t="s">
        <v>2</v>
      </c>
      <c r="C206">
        <v>205</v>
      </c>
      <c r="D206">
        <v>0</v>
      </c>
      <c r="E206">
        <v>1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5">
      <c r="A207" s="1">
        <v>0.62925663194444448</v>
      </c>
      <c r="B207" t="s">
        <v>2</v>
      </c>
      <c r="C207">
        <v>206</v>
      </c>
      <c r="D207">
        <v>0</v>
      </c>
      <c r="E207">
        <v>1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5">
      <c r="A208" s="1">
        <v>0.6292567361111111</v>
      </c>
      <c r="B208" t="s">
        <v>1</v>
      </c>
      <c r="C208">
        <v>207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5">
      <c r="A209" s="1">
        <v>0.62925686342592591</v>
      </c>
      <c r="B209" t="s">
        <v>1</v>
      </c>
      <c r="C209">
        <v>208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5">
      <c r="A210" s="1">
        <v>0.62925697916666667</v>
      </c>
      <c r="B210" t="s">
        <v>1</v>
      </c>
      <c r="C210">
        <v>209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5">
      <c r="A211" s="1">
        <v>0.62925709490740744</v>
      </c>
      <c r="B211" t="s">
        <v>1</v>
      </c>
      <c r="C211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1">
        <v>0.62925719907407407</v>
      </c>
      <c r="B212" t="s">
        <v>1</v>
      </c>
      <c r="C212">
        <v>211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5">
      <c r="A213" s="1">
        <v>0.62925732638888887</v>
      </c>
      <c r="B213" t="s">
        <v>1</v>
      </c>
      <c r="C213">
        <v>212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5">
      <c r="A214" s="1">
        <v>0.62925743055555561</v>
      </c>
      <c r="B214" t="s">
        <v>1</v>
      </c>
      <c r="C214">
        <v>213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5">
      <c r="A215" s="1">
        <v>0.62925754629629627</v>
      </c>
      <c r="B215" t="s">
        <v>1</v>
      </c>
      <c r="C215">
        <v>214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5">
      <c r="A216" s="1">
        <v>0.62925767361111107</v>
      </c>
      <c r="B216" t="s">
        <v>1</v>
      </c>
      <c r="C216">
        <v>215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5">
      <c r="A217" s="1">
        <v>0.6292577777777778</v>
      </c>
      <c r="B217" t="s">
        <v>1</v>
      </c>
      <c r="C217">
        <v>216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5">
      <c r="A218" s="1">
        <v>0.62925790509259261</v>
      </c>
      <c r="B218" t="s">
        <v>1</v>
      </c>
      <c r="C218">
        <v>217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5">
      <c r="A219" s="1">
        <v>0.62925802083333338</v>
      </c>
      <c r="B219" t="s">
        <v>1</v>
      </c>
      <c r="C219">
        <v>218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5">
      <c r="A220" s="1">
        <v>0.629258125</v>
      </c>
      <c r="B220" t="s">
        <v>1</v>
      </c>
      <c r="C220">
        <v>219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 x14ac:dyDescent="0.25">
      <c r="A221" s="1">
        <v>0.62925824074074077</v>
      </c>
      <c r="B221" t="s">
        <v>1</v>
      </c>
      <c r="C221">
        <v>220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5">
      <c r="A222" s="1">
        <v>0.62925835648148143</v>
      </c>
      <c r="B222" t="s">
        <v>1</v>
      </c>
      <c r="C222">
        <v>221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 x14ac:dyDescent="0.25">
      <c r="A223" s="1">
        <v>0.6292584722222222</v>
      </c>
      <c r="B223" t="s">
        <v>1</v>
      </c>
      <c r="C223">
        <v>222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5">
      <c r="A224" s="1">
        <v>0.629258599537037</v>
      </c>
      <c r="B224" t="s">
        <v>1</v>
      </c>
      <c r="C224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5">
      <c r="A225" s="1">
        <v>0.62925870370370374</v>
      </c>
      <c r="B225" t="s">
        <v>1</v>
      </c>
      <c r="C225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5">
      <c r="A226" s="1">
        <v>0.62925881944444439</v>
      </c>
      <c r="B226" t="s">
        <v>2</v>
      </c>
      <c r="C226">
        <v>225</v>
      </c>
      <c r="D226">
        <v>0</v>
      </c>
      <c r="E226">
        <v>1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5">
      <c r="A227" s="1">
        <v>0.62925893518518516</v>
      </c>
      <c r="B227" t="s">
        <v>2</v>
      </c>
      <c r="C227">
        <v>226</v>
      </c>
      <c r="D227">
        <v>0</v>
      </c>
      <c r="E227">
        <v>1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5">
      <c r="A228" s="1">
        <v>0.62925905092592593</v>
      </c>
      <c r="B228" t="s">
        <v>1</v>
      </c>
      <c r="C228">
        <v>227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5">
      <c r="A229" s="1">
        <v>0.6292591666666667</v>
      </c>
      <c r="B229" t="s">
        <v>1</v>
      </c>
      <c r="C229">
        <v>228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5">
      <c r="A230" s="1">
        <v>0.62925928240740736</v>
      </c>
      <c r="B230" t="s">
        <v>1</v>
      </c>
      <c r="C230">
        <v>229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5">
      <c r="A231" s="1">
        <v>0.62925939814814813</v>
      </c>
      <c r="B231" t="s">
        <v>1</v>
      </c>
      <c r="C231">
        <v>230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5">
      <c r="A232" s="1">
        <v>0.6292595138888889</v>
      </c>
      <c r="B232" t="s">
        <v>1</v>
      </c>
      <c r="C232">
        <v>231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5">
      <c r="A233" s="1">
        <v>0.62925962962962967</v>
      </c>
      <c r="B233" t="s">
        <v>1</v>
      </c>
      <c r="C233">
        <v>232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5">
      <c r="A234" s="1">
        <v>0.62925974537037033</v>
      </c>
      <c r="B234" t="s">
        <v>1</v>
      </c>
      <c r="C234">
        <v>233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5">
      <c r="A235" s="1">
        <v>0.6292598611111111</v>
      </c>
      <c r="B235" t="s">
        <v>1</v>
      </c>
      <c r="C235">
        <v>234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5">
      <c r="A236" s="1">
        <v>0.62925997685185187</v>
      </c>
      <c r="B236" t="s">
        <v>1</v>
      </c>
      <c r="C236">
        <v>235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5">
      <c r="A237" s="1">
        <v>0.62926009259259263</v>
      </c>
      <c r="B237" t="s">
        <v>1</v>
      </c>
      <c r="C237">
        <v>236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 x14ac:dyDescent="0.25">
      <c r="A238" s="1">
        <v>0.62926020833333329</v>
      </c>
      <c r="B238" t="s">
        <v>1</v>
      </c>
      <c r="C238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5">
      <c r="A239" s="1">
        <v>0.62926032407407406</v>
      </c>
      <c r="B239" t="s">
        <v>1</v>
      </c>
      <c r="C239">
        <v>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 x14ac:dyDescent="0.25">
      <c r="A240" s="1">
        <v>0.62926043981481483</v>
      </c>
      <c r="B240" t="s">
        <v>1</v>
      </c>
      <c r="C240">
        <v>239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5">
      <c r="A241" s="1">
        <v>0.6292605555555556</v>
      </c>
      <c r="B241" t="s">
        <v>1</v>
      </c>
      <c r="C241">
        <v>240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5">
      <c r="A242" s="1">
        <v>0.62926067129629626</v>
      </c>
      <c r="B242" t="s">
        <v>1</v>
      </c>
      <c r="C242">
        <v>241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5">
      <c r="A243" s="1">
        <v>0.62926078703703703</v>
      </c>
      <c r="B243" t="s">
        <v>1</v>
      </c>
      <c r="C243">
        <v>242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1">
        <v>0.6292609027777778</v>
      </c>
      <c r="B244" t="s">
        <v>1</v>
      </c>
      <c r="C244">
        <v>243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5">
      <c r="A245" s="1">
        <v>0.62926101851851857</v>
      </c>
      <c r="B245" t="s">
        <v>1</v>
      </c>
      <c r="C245">
        <v>244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5">
      <c r="A246" s="1">
        <v>0.62926113425925922</v>
      </c>
      <c r="B246" t="s">
        <v>2</v>
      </c>
      <c r="C246">
        <v>245</v>
      </c>
      <c r="D246">
        <v>0</v>
      </c>
      <c r="E246">
        <v>1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5">
      <c r="A247" s="1">
        <v>0.62926124999999999</v>
      </c>
      <c r="B247" t="s">
        <v>2</v>
      </c>
      <c r="C247">
        <v>246</v>
      </c>
      <c r="D247">
        <v>0</v>
      </c>
      <c r="E247">
        <v>1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5">
      <c r="A248" s="1">
        <v>0.62926136574074076</v>
      </c>
      <c r="B248" t="s">
        <v>1</v>
      </c>
      <c r="C248">
        <v>247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5">
      <c r="A249" s="1">
        <v>0.62926148148148153</v>
      </c>
      <c r="B249" t="s">
        <v>1</v>
      </c>
      <c r="C249">
        <v>248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5">
      <c r="A250" s="1">
        <v>0.62926159722222219</v>
      </c>
      <c r="B250" t="s">
        <v>1</v>
      </c>
      <c r="C250">
        <v>249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5">
      <c r="A251" s="1">
        <v>0.62926171296296296</v>
      </c>
      <c r="B251" t="s">
        <v>1</v>
      </c>
      <c r="C251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5">
      <c r="A252" s="1">
        <v>0.62926182870370373</v>
      </c>
      <c r="B252" t="s">
        <v>1</v>
      </c>
      <c r="C252">
        <v>251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5">
      <c r="A253" s="1">
        <v>0.6292619444444445</v>
      </c>
      <c r="B253" t="s">
        <v>1</v>
      </c>
      <c r="C253">
        <v>252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5">
      <c r="A254" s="1">
        <v>0.62926206018518516</v>
      </c>
      <c r="B254" t="s">
        <v>1</v>
      </c>
      <c r="C254">
        <v>253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5">
      <c r="A255" s="1">
        <v>0.62926217592592593</v>
      </c>
      <c r="B255" t="s">
        <v>1</v>
      </c>
      <c r="C255">
        <v>254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5">
      <c r="A256" s="1">
        <v>0.6292622916666667</v>
      </c>
      <c r="B256" t="s">
        <v>1</v>
      </c>
      <c r="C256">
        <v>255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5">
      <c r="A257" s="1">
        <v>0.62926240740740735</v>
      </c>
      <c r="B257" t="s">
        <v>1</v>
      </c>
      <c r="C257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s="1">
        <v>0.62926252314814812</v>
      </c>
      <c r="B258" t="s">
        <v>1</v>
      </c>
      <c r="C258">
        <v>257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5">
      <c r="A259" s="1">
        <v>0.62926263888888889</v>
      </c>
      <c r="B259" t="s">
        <v>1</v>
      </c>
      <c r="C259">
        <v>258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5">
      <c r="A260" s="1">
        <v>0.62926275462962966</v>
      </c>
      <c r="B260" t="s">
        <v>1</v>
      </c>
      <c r="C260">
        <v>259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5">
      <c r="A261" s="1">
        <v>0.62926287037037032</v>
      </c>
      <c r="B261" t="s">
        <v>1</v>
      </c>
      <c r="C261">
        <v>260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5">
      <c r="A262" s="1">
        <v>0.62926298611111109</v>
      </c>
      <c r="B262" t="s">
        <v>1</v>
      </c>
      <c r="C262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5">
      <c r="A263" s="1">
        <v>0.62926310185185186</v>
      </c>
      <c r="B263" t="s">
        <v>1</v>
      </c>
      <c r="C263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5">
      <c r="A264" s="1">
        <v>0.62926321759259263</v>
      </c>
      <c r="B264" t="s">
        <v>1</v>
      </c>
      <c r="C264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s="1">
        <v>0.62926332175925925</v>
      </c>
      <c r="B265" t="s">
        <v>1</v>
      </c>
      <c r="C265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5">
      <c r="A266" s="1">
        <v>0.62926343750000002</v>
      </c>
      <c r="B266" t="s">
        <v>2</v>
      </c>
      <c r="C266">
        <v>265</v>
      </c>
      <c r="D266">
        <v>0</v>
      </c>
      <c r="E266">
        <v>1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5">
      <c r="A267" s="1">
        <v>0.62926356481481482</v>
      </c>
      <c r="B267" t="s">
        <v>2</v>
      </c>
      <c r="C267">
        <v>266</v>
      </c>
      <c r="D267">
        <v>0</v>
      </c>
      <c r="E267">
        <v>1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5">
      <c r="A268" s="1">
        <v>0.62926366898148145</v>
      </c>
      <c r="B268" t="s">
        <v>1</v>
      </c>
      <c r="C268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5">
      <c r="A269" s="1">
        <v>0.62926379629629625</v>
      </c>
      <c r="B269" t="s">
        <v>1</v>
      </c>
      <c r="C269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5">
      <c r="A270" s="1">
        <v>0.62926391203703702</v>
      </c>
      <c r="B270" t="s">
        <v>1</v>
      </c>
      <c r="C270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5">
      <c r="A271" s="1">
        <v>0.62926401620370376</v>
      </c>
      <c r="B271" t="s">
        <v>1</v>
      </c>
      <c r="C271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5">
      <c r="A272" s="1">
        <v>0.62926414351851856</v>
      </c>
      <c r="B272" t="s">
        <v>1</v>
      </c>
      <c r="C272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5">
      <c r="A273" s="1">
        <v>0.62926425925925922</v>
      </c>
      <c r="B273" t="s">
        <v>1</v>
      </c>
      <c r="C273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5">
      <c r="A274" s="1">
        <v>0.62926437499999999</v>
      </c>
      <c r="B274" t="s">
        <v>1</v>
      </c>
      <c r="C274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 x14ac:dyDescent="0.25">
      <c r="A275" s="1">
        <v>0.62926449074074076</v>
      </c>
      <c r="B275" t="s">
        <v>1</v>
      </c>
      <c r="C275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5">
      <c r="A276" s="1">
        <v>0.62926460648148153</v>
      </c>
      <c r="B276" t="s">
        <v>1</v>
      </c>
      <c r="C276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5">
      <c r="A277" s="1">
        <v>0.62926471064814815</v>
      </c>
      <c r="B277" t="s">
        <v>1</v>
      </c>
      <c r="C277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5">
      <c r="A278" s="1">
        <v>0.62926482638888892</v>
      </c>
      <c r="B278" t="s">
        <v>1</v>
      </c>
      <c r="C278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5">
      <c r="A279" s="1">
        <v>0.62926494212962958</v>
      </c>
      <c r="B279" t="s">
        <v>1</v>
      </c>
      <c r="C279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5">
      <c r="A280" s="1">
        <v>0.62926505787037035</v>
      </c>
      <c r="B280" t="s">
        <v>1</v>
      </c>
      <c r="C280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5">
      <c r="A281" s="1">
        <v>0.62926518518518515</v>
      </c>
      <c r="B281" t="s">
        <v>1</v>
      </c>
      <c r="C281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5">
      <c r="A282" s="1">
        <v>0.62926528935185189</v>
      </c>
      <c r="B282" t="s">
        <v>1</v>
      </c>
      <c r="C282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5">
      <c r="A283" s="1">
        <v>0.62926540509259254</v>
      </c>
      <c r="B283" t="s">
        <v>1</v>
      </c>
      <c r="C283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5">
      <c r="A284" s="1">
        <v>0.62926552083333331</v>
      </c>
      <c r="B284" t="s">
        <v>1</v>
      </c>
      <c r="C284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5">
      <c r="A285" s="1">
        <v>0.62926563657407408</v>
      </c>
      <c r="B285" t="s">
        <v>1</v>
      </c>
      <c r="C285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5">
      <c r="A286" s="1">
        <v>0.62926575231481485</v>
      </c>
      <c r="B286" t="s">
        <v>2</v>
      </c>
      <c r="C286">
        <v>285</v>
      </c>
      <c r="D286">
        <v>0</v>
      </c>
      <c r="E286">
        <v>1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5">
      <c r="A287" s="1">
        <v>0.62926586805555551</v>
      </c>
      <c r="B287" t="s">
        <v>2</v>
      </c>
      <c r="C287">
        <v>286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5">
      <c r="A288" s="1">
        <v>0.62926598379629628</v>
      </c>
      <c r="B288" t="s">
        <v>1</v>
      </c>
      <c r="C288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5">
      <c r="A289" s="1">
        <v>0.62926609953703705</v>
      </c>
      <c r="B289" t="s">
        <v>1</v>
      </c>
      <c r="C289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5">
      <c r="A290" s="1">
        <v>0.62926621527777782</v>
      </c>
      <c r="B290" t="s">
        <v>1</v>
      </c>
      <c r="C290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5">
      <c r="A291" s="1">
        <v>0.62926633101851848</v>
      </c>
      <c r="B291" t="s">
        <v>1</v>
      </c>
      <c r="C291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5">
      <c r="A292" s="1">
        <v>0.62926644675925925</v>
      </c>
      <c r="B292" t="s">
        <v>1</v>
      </c>
      <c r="C292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5">
      <c r="A293" s="1">
        <v>0.62926656250000002</v>
      </c>
      <c r="B293" t="s">
        <v>1</v>
      </c>
      <c r="C293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5">
      <c r="A294" s="1">
        <v>0.62926667824074078</v>
      </c>
      <c r="B294" t="s">
        <v>1</v>
      </c>
      <c r="C294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5">
      <c r="A295" s="1">
        <v>0.62926679398148144</v>
      </c>
      <c r="B295" t="s">
        <v>1</v>
      </c>
      <c r="C295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5">
      <c r="A296" s="1">
        <v>0.62926690972222221</v>
      </c>
      <c r="B296" t="s">
        <v>1</v>
      </c>
      <c r="C296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5">
      <c r="A297" s="1">
        <v>0.62926702546296298</v>
      </c>
      <c r="B297" t="s">
        <v>1</v>
      </c>
      <c r="C297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5">
      <c r="A298" s="1">
        <v>0.62926714120370375</v>
      </c>
      <c r="B298" t="s">
        <v>1</v>
      </c>
      <c r="C298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1">
        <v>0.62926725694444441</v>
      </c>
      <c r="B299" t="s">
        <v>1</v>
      </c>
      <c r="C299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5">
      <c r="A300" s="1">
        <v>0.62926737268518518</v>
      </c>
      <c r="B300" t="s">
        <v>1</v>
      </c>
      <c r="C300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5">
      <c r="A301" s="1">
        <v>0.62926748842592595</v>
      </c>
      <c r="B301" t="s">
        <v>1</v>
      </c>
      <c r="C301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5">
      <c r="A302" s="1">
        <v>0.62926771990740737</v>
      </c>
      <c r="B302" t="s">
        <v>1</v>
      </c>
      <c r="C302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5">
      <c r="A303" s="1">
        <v>0.62926783564814814</v>
      </c>
      <c r="B303" t="s">
        <v>1</v>
      </c>
      <c r="C303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 x14ac:dyDescent="0.25">
      <c r="A304" s="1">
        <v>0.62926795138888891</v>
      </c>
      <c r="B304" t="s">
        <v>1</v>
      </c>
      <c r="C304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5">
      <c r="A305" s="1">
        <v>0.62926806712962968</v>
      </c>
      <c r="B305" t="s">
        <v>2</v>
      </c>
      <c r="C305">
        <v>304</v>
      </c>
      <c r="D305">
        <v>0</v>
      </c>
      <c r="E305">
        <v>1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5">
      <c r="A306" s="1">
        <v>0.62926818287037034</v>
      </c>
      <c r="B306" t="s">
        <v>2</v>
      </c>
      <c r="C306">
        <v>305</v>
      </c>
      <c r="D306">
        <v>0</v>
      </c>
      <c r="E306">
        <v>1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5">
      <c r="A307" s="1">
        <v>0.62926829861111111</v>
      </c>
      <c r="B307" t="s">
        <v>1</v>
      </c>
      <c r="C307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5">
      <c r="A308" s="1">
        <v>0.62926841435185188</v>
      </c>
      <c r="B308" t="s">
        <v>1</v>
      </c>
      <c r="C308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5">
      <c r="A309" s="1">
        <v>0.62926853009259254</v>
      </c>
      <c r="B309" t="s">
        <v>1</v>
      </c>
      <c r="C309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5">
      <c r="A310" s="1">
        <v>0.62926864583333331</v>
      </c>
      <c r="B310" t="s">
        <v>1</v>
      </c>
      <c r="C310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5">
      <c r="A311" s="1">
        <v>0.62926876157407408</v>
      </c>
      <c r="B311" t="s">
        <v>1</v>
      </c>
      <c r="C311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5">
      <c r="A312" s="1">
        <v>0.62926887731481485</v>
      </c>
      <c r="B312" t="s">
        <v>1</v>
      </c>
      <c r="C312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5">
      <c r="A313" s="1">
        <v>0.6292689930555555</v>
      </c>
      <c r="B313" t="s">
        <v>1</v>
      </c>
      <c r="C313">
        <v>312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5">
      <c r="A314" s="1">
        <v>0.62926910879629627</v>
      </c>
      <c r="B314" t="s">
        <v>1</v>
      </c>
      <c r="C314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5">
      <c r="A315" s="1">
        <v>0.62926922453703704</v>
      </c>
      <c r="B315" t="s">
        <v>1</v>
      </c>
      <c r="C315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5">
      <c r="A316" s="1">
        <v>0.62926934027777781</v>
      </c>
      <c r="B316" t="s">
        <v>1</v>
      </c>
      <c r="C316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5">
      <c r="A317" s="1">
        <v>0.62926945601851847</v>
      </c>
      <c r="B317" t="s">
        <v>1</v>
      </c>
      <c r="C317">
        <v>316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5">
      <c r="A318" s="1">
        <v>0.62926957175925924</v>
      </c>
      <c r="B318" t="s">
        <v>1</v>
      </c>
      <c r="C318">
        <v>317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5">
      <c r="A319" s="1">
        <v>0.62926968750000001</v>
      </c>
      <c r="B319" t="s">
        <v>1</v>
      </c>
      <c r="C319">
        <v>318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5">
      <c r="A320" s="1">
        <v>0.62926980324074078</v>
      </c>
      <c r="B320" t="s">
        <v>1</v>
      </c>
      <c r="C320">
        <v>319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5">
      <c r="A321" s="1">
        <v>0.62926991898148144</v>
      </c>
      <c r="B321" t="s">
        <v>1</v>
      </c>
      <c r="C321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5">
      <c r="A322" s="1">
        <v>0.6292700347222222</v>
      </c>
      <c r="B322" t="s">
        <v>1</v>
      </c>
      <c r="C322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5">
      <c r="A323" s="1">
        <v>0.62927015046296297</v>
      </c>
      <c r="B323" t="s">
        <v>1</v>
      </c>
      <c r="C323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5">
      <c r="A324" s="1">
        <v>0.62927026620370374</v>
      </c>
      <c r="B324" t="s">
        <v>1</v>
      </c>
      <c r="C324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5">
      <c r="A325" s="1">
        <v>0.6292703819444444</v>
      </c>
      <c r="B325" t="s">
        <v>2</v>
      </c>
      <c r="C325">
        <v>324</v>
      </c>
      <c r="D325">
        <v>0</v>
      </c>
      <c r="E325">
        <v>1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5">
      <c r="A326" s="1">
        <v>0.62927049768518517</v>
      </c>
      <c r="B326" t="s">
        <v>2</v>
      </c>
      <c r="C326">
        <v>325</v>
      </c>
      <c r="D326">
        <v>0</v>
      </c>
      <c r="E326">
        <v>1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5">
      <c r="A327" s="1">
        <v>0.62927061342592594</v>
      </c>
      <c r="B327" t="s">
        <v>1</v>
      </c>
      <c r="C327">
        <v>326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5">
      <c r="A328" s="1">
        <v>0.62927072916666671</v>
      </c>
      <c r="B328" t="s">
        <v>1</v>
      </c>
      <c r="C328">
        <v>327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5">
      <c r="A329" s="1">
        <v>0.62927084490740737</v>
      </c>
      <c r="B329" t="s">
        <v>1</v>
      </c>
      <c r="C329">
        <v>328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5">
      <c r="A330" s="1">
        <v>0.62927096064814814</v>
      </c>
      <c r="B330" t="s">
        <v>1</v>
      </c>
      <c r="C330">
        <v>329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1">
        <v>0.62927106481481476</v>
      </c>
      <c r="B331" t="s">
        <v>1</v>
      </c>
      <c r="C331">
        <v>330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5">
      <c r="A332" s="1">
        <v>0.62927118055555553</v>
      </c>
      <c r="B332" t="s">
        <v>1</v>
      </c>
      <c r="C332">
        <v>331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5">
      <c r="A333" s="1">
        <v>0.62927130787037033</v>
      </c>
      <c r="B333" t="s">
        <v>1</v>
      </c>
      <c r="C333">
        <v>332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5">
      <c r="A334" s="1">
        <v>0.62927141203703707</v>
      </c>
      <c r="B334" t="s">
        <v>1</v>
      </c>
      <c r="C334">
        <v>333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5">
      <c r="A335" s="1">
        <v>0.62927153935185187</v>
      </c>
      <c r="B335" t="s">
        <v>1</v>
      </c>
      <c r="C335">
        <v>334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5">
      <c r="A336" s="1">
        <v>0.6292716435185185</v>
      </c>
      <c r="B336" t="s">
        <v>1</v>
      </c>
      <c r="C336">
        <v>335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5">
      <c r="A337" s="1">
        <v>0.62927175925925927</v>
      </c>
      <c r="B337" t="s">
        <v>1</v>
      </c>
      <c r="C337">
        <v>336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5">
      <c r="A338" s="1">
        <v>0.62927187500000004</v>
      </c>
      <c r="B338" t="s">
        <v>1</v>
      </c>
      <c r="C338">
        <v>337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5">
      <c r="A339" s="1">
        <v>0.62927199074074069</v>
      </c>
      <c r="B339" t="s">
        <v>1</v>
      </c>
      <c r="C339">
        <v>338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5">
      <c r="A340" s="1">
        <v>0.62927210648148146</v>
      </c>
      <c r="B340" t="s">
        <v>1</v>
      </c>
      <c r="C340">
        <v>339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5">
      <c r="A341" s="1">
        <v>0.62927222222222223</v>
      </c>
      <c r="B341" t="s">
        <v>1</v>
      </c>
      <c r="C341">
        <v>340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5">
      <c r="A342" s="1">
        <v>0.629272337962963</v>
      </c>
      <c r="B342" t="s">
        <v>1</v>
      </c>
      <c r="C342">
        <v>341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1">
        <v>0.62927245370370366</v>
      </c>
      <c r="B343" t="s">
        <v>1</v>
      </c>
      <c r="C343">
        <v>342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5">
      <c r="A344" s="1">
        <v>0.62927256944444443</v>
      </c>
      <c r="B344" t="s">
        <v>1</v>
      </c>
      <c r="C344">
        <v>343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5">
      <c r="A345" s="1">
        <v>0.6292726851851852</v>
      </c>
      <c r="B345" t="s">
        <v>2</v>
      </c>
      <c r="C345">
        <v>344</v>
      </c>
      <c r="D345">
        <v>0</v>
      </c>
      <c r="E345">
        <v>1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5">
      <c r="A346" s="1">
        <v>0.62927280092592597</v>
      </c>
      <c r="B346" t="s">
        <v>2</v>
      </c>
      <c r="C346">
        <v>345</v>
      </c>
      <c r="D346">
        <v>0</v>
      </c>
      <c r="E346">
        <v>1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5">
      <c r="A347" s="1">
        <v>0.62927291666666663</v>
      </c>
      <c r="B347" t="s">
        <v>1</v>
      </c>
      <c r="C347">
        <v>346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5">
      <c r="A348" s="1">
        <v>0.6292730324074074</v>
      </c>
      <c r="B348" t="s">
        <v>1</v>
      </c>
      <c r="C348">
        <v>347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5">
      <c r="A349" s="1">
        <v>0.62927314814814816</v>
      </c>
      <c r="B349" t="s">
        <v>1</v>
      </c>
      <c r="C349">
        <v>348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5">
      <c r="A350" s="1">
        <v>0.62927326388888893</v>
      </c>
      <c r="B350" t="s">
        <v>1</v>
      </c>
      <c r="C350">
        <v>349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5">
      <c r="A351" s="1">
        <v>0.62927337962962959</v>
      </c>
      <c r="B351" t="s">
        <v>1</v>
      </c>
      <c r="C351">
        <v>350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 x14ac:dyDescent="0.25">
      <c r="A352" s="1">
        <v>0.62927349537037036</v>
      </c>
      <c r="B352" t="s">
        <v>1</v>
      </c>
      <c r="C352">
        <v>351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5">
      <c r="A353" s="1">
        <v>0.62927361111111113</v>
      </c>
      <c r="B353" t="s">
        <v>1</v>
      </c>
      <c r="C353">
        <v>352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5">
      <c r="A354" s="1">
        <v>0.6292737268518519</v>
      </c>
      <c r="B354" t="s">
        <v>1</v>
      </c>
      <c r="C354">
        <v>353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5">
      <c r="A355" s="1">
        <v>0.62927384259259256</v>
      </c>
      <c r="B355" t="s">
        <v>1</v>
      </c>
      <c r="C355">
        <v>354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5">
      <c r="A356" s="1">
        <v>0.62927395833333333</v>
      </c>
      <c r="B356" t="s">
        <v>1</v>
      </c>
      <c r="C356">
        <v>355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5">
      <c r="A357" s="1">
        <v>0.6292740740740741</v>
      </c>
      <c r="B357" t="s">
        <v>1</v>
      </c>
      <c r="C357">
        <v>356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5">
      <c r="A358" s="1">
        <v>0.62927418981481487</v>
      </c>
      <c r="B358" t="s">
        <v>1</v>
      </c>
      <c r="C358">
        <v>357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5">
      <c r="A359" s="1">
        <v>0.62927430555555552</v>
      </c>
      <c r="B359" t="s">
        <v>1</v>
      </c>
      <c r="C359">
        <v>358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5">
      <c r="A360" s="1">
        <v>0.62927442129629629</v>
      </c>
      <c r="B360" t="s">
        <v>1</v>
      </c>
      <c r="C360">
        <v>359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 x14ac:dyDescent="0.25">
      <c r="A361" s="1">
        <v>0.62927453703703706</v>
      </c>
      <c r="B361" t="s">
        <v>1</v>
      </c>
      <c r="C361">
        <v>360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5">
      <c r="A362" s="1">
        <v>0.62927465277777783</v>
      </c>
      <c r="B362" t="s">
        <v>1</v>
      </c>
      <c r="C362">
        <v>361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5">
      <c r="A363" s="1">
        <v>0.62927476851851849</v>
      </c>
      <c r="B363" t="s">
        <v>1</v>
      </c>
      <c r="C363">
        <v>362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5">
      <c r="A364" s="1">
        <v>0.62927488425925926</v>
      </c>
      <c r="B364" t="s">
        <v>1</v>
      </c>
      <c r="C364">
        <v>363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5">
      <c r="A365" s="1">
        <v>0.62927500000000003</v>
      </c>
      <c r="B365" t="s">
        <v>2</v>
      </c>
      <c r="C365">
        <v>364</v>
      </c>
      <c r="D365">
        <v>0</v>
      </c>
      <c r="E365">
        <v>1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5">
      <c r="A366" s="1">
        <v>0.62927511574074069</v>
      </c>
      <c r="B366" t="s">
        <v>2</v>
      </c>
      <c r="C366">
        <v>365</v>
      </c>
      <c r="D366">
        <v>0</v>
      </c>
      <c r="E366">
        <v>1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5">
      <c r="A367" s="1">
        <v>0.62927523148148146</v>
      </c>
      <c r="B367" t="s">
        <v>1</v>
      </c>
      <c r="C367">
        <v>366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5">
      <c r="A368" s="1">
        <v>0.62927534722222223</v>
      </c>
      <c r="B368" t="s">
        <v>1</v>
      </c>
      <c r="C368">
        <v>367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5">
      <c r="A369" s="1">
        <v>0.62927546296296299</v>
      </c>
      <c r="B369" t="s">
        <v>1</v>
      </c>
      <c r="C369">
        <v>368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5">
      <c r="A370" s="1">
        <v>0.62927557870370365</v>
      </c>
      <c r="B370" t="s">
        <v>1</v>
      </c>
      <c r="C370">
        <v>369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5">
      <c r="A371" s="1">
        <v>0.62927569444444442</v>
      </c>
      <c r="B371" t="s">
        <v>1</v>
      </c>
      <c r="C371">
        <v>370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5">
      <c r="A372" s="1">
        <v>0.62927581018518519</v>
      </c>
      <c r="B372" t="s">
        <v>1</v>
      </c>
      <c r="C372">
        <v>371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5">
      <c r="A373" s="1">
        <v>0.62927592592592596</v>
      </c>
      <c r="B373" t="s">
        <v>1</v>
      </c>
      <c r="C373">
        <v>372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</row>
    <row r="374" spans="1:19" x14ac:dyDescent="0.25">
      <c r="A374" s="1">
        <v>0.62927604166666662</v>
      </c>
      <c r="B374" t="s">
        <v>1</v>
      </c>
      <c r="C374">
        <v>373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5">
      <c r="A375" s="1">
        <v>0.62927615740740739</v>
      </c>
      <c r="B375" t="s">
        <v>1</v>
      </c>
      <c r="C375">
        <v>374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5">
      <c r="A376" s="1">
        <v>0.62927627314814816</v>
      </c>
      <c r="B376" t="s">
        <v>1</v>
      </c>
      <c r="C376">
        <v>375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5">
      <c r="A377" s="1">
        <v>0.62927638888888893</v>
      </c>
      <c r="B377" t="s">
        <v>1</v>
      </c>
      <c r="C377">
        <v>376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5">
      <c r="A378" s="1">
        <v>0.62927650462962958</v>
      </c>
      <c r="B378" t="s">
        <v>1</v>
      </c>
      <c r="C378">
        <v>377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1">
        <v>0.62927662037037035</v>
      </c>
      <c r="B379" t="s">
        <v>1</v>
      </c>
      <c r="C379">
        <v>378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1">
        <v>0.62927672453703709</v>
      </c>
      <c r="B380" t="s">
        <v>1</v>
      </c>
      <c r="C380">
        <v>379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5">
      <c r="A381" s="1">
        <v>0.62927684027777775</v>
      </c>
      <c r="B381" t="s">
        <v>1</v>
      </c>
      <c r="C381">
        <v>380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5">
      <c r="A382" s="1">
        <v>0.62927696759259255</v>
      </c>
      <c r="B382" t="s">
        <v>1</v>
      </c>
      <c r="C382">
        <v>381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5">
      <c r="A383" s="1">
        <v>0.62927708333333332</v>
      </c>
      <c r="B383" t="s">
        <v>1</v>
      </c>
      <c r="C383">
        <v>382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5">
      <c r="A384" s="1">
        <v>0.62927719907407409</v>
      </c>
      <c r="B384" t="s">
        <v>1</v>
      </c>
      <c r="C384">
        <v>383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5">
      <c r="A385" s="1">
        <v>0.62927731481481486</v>
      </c>
      <c r="B385" t="s">
        <v>2</v>
      </c>
      <c r="C385">
        <v>384</v>
      </c>
      <c r="D385">
        <v>0</v>
      </c>
      <c r="E385">
        <v>1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5">
      <c r="A386" s="1">
        <v>0.62927743055555552</v>
      </c>
      <c r="B386" t="s">
        <v>2</v>
      </c>
      <c r="C386">
        <v>385</v>
      </c>
      <c r="D386">
        <v>0</v>
      </c>
      <c r="E386">
        <v>1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5">
      <c r="A387" s="1">
        <v>0.62927753472222225</v>
      </c>
      <c r="B387" t="s">
        <v>1</v>
      </c>
      <c r="C387">
        <v>386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5">
      <c r="A388" s="1">
        <v>0.62927765046296291</v>
      </c>
      <c r="B388" t="s">
        <v>1</v>
      </c>
      <c r="C388">
        <v>387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5">
      <c r="A389" s="1">
        <v>0.62927776620370368</v>
      </c>
      <c r="B389" t="s">
        <v>1</v>
      </c>
      <c r="C389">
        <v>388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5">
      <c r="A390" s="1">
        <v>0.62927788194444445</v>
      </c>
      <c r="B390" t="s">
        <v>1</v>
      </c>
      <c r="C390">
        <v>389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5">
      <c r="A391" s="1">
        <v>0.62927799768518522</v>
      </c>
      <c r="B391" t="s">
        <v>1</v>
      </c>
      <c r="C391">
        <v>390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5">
      <c r="A392" s="1">
        <v>0.62927811342592588</v>
      </c>
      <c r="B392" t="s">
        <v>1</v>
      </c>
      <c r="C392">
        <v>391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5">
      <c r="A393" s="1">
        <v>0.62927822916666665</v>
      </c>
      <c r="B393" t="s">
        <v>1</v>
      </c>
      <c r="C393">
        <v>392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5">
      <c r="A394" s="1">
        <v>0.62927834490740742</v>
      </c>
      <c r="B394" t="s">
        <v>1</v>
      </c>
      <c r="C394">
        <v>393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5">
      <c r="A395" s="1">
        <v>0.62927846064814819</v>
      </c>
      <c r="B395" t="s">
        <v>1</v>
      </c>
      <c r="C395">
        <v>394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5">
      <c r="A396" s="1">
        <v>0.62927857638888884</v>
      </c>
      <c r="B396" t="s">
        <v>1</v>
      </c>
      <c r="C396">
        <v>395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5">
      <c r="A397" s="1">
        <v>0.62927869212962961</v>
      </c>
      <c r="B397" t="s">
        <v>1</v>
      </c>
      <c r="C397">
        <v>396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5">
      <c r="A398" s="1">
        <v>0.62927880787037038</v>
      </c>
      <c r="B398" t="s">
        <v>1</v>
      </c>
      <c r="C398">
        <v>397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5">
      <c r="A399" s="1">
        <v>0.62927892361111115</v>
      </c>
      <c r="B399" t="s">
        <v>1</v>
      </c>
      <c r="C399">
        <v>398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5">
      <c r="A400" s="1">
        <v>0.62927903935185181</v>
      </c>
      <c r="B400" t="s">
        <v>1</v>
      </c>
      <c r="C400">
        <v>399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1">
        <v>0.62927927083333335</v>
      </c>
      <c r="B401" t="s">
        <v>1</v>
      </c>
      <c r="C401">
        <v>400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25">
      <c r="A402" s="1">
        <v>0.62927939814814815</v>
      </c>
      <c r="B402" t="s">
        <v>1</v>
      </c>
      <c r="C402">
        <v>401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5">
      <c r="A403" s="1">
        <v>0.62927950231481478</v>
      </c>
      <c r="B403" t="s">
        <v>1</v>
      </c>
      <c r="C403">
        <v>402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5">
      <c r="A404" s="1">
        <v>0.62927961805555555</v>
      </c>
      <c r="B404" t="s">
        <v>2</v>
      </c>
      <c r="C404">
        <v>403</v>
      </c>
      <c r="D404">
        <v>0</v>
      </c>
      <c r="E404">
        <v>1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5">
      <c r="A405" s="1">
        <v>0.62927973379629631</v>
      </c>
      <c r="B405" t="s">
        <v>2</v>
      </c>
      <c r="C405">
        <v>404</v>
      </c>
      <c r="D405">
        <v>0</v>
      </c>
      <c r="E405">
        <v>1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1">
        <v>0.62927984953703708</v>
      </c>
      <c r="B406" t="s">
        <v>1</v>
      </c>
      <c r="C406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5">
      <c r="A407" s="1">
        <v>0.62927996527777774</v>
      </c>
      <c r="B407" t="s">
        <v>1</v>
      </c>
      <c r="C407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5">
      <c r="A408" s="1">
        <v>0.62928008101851851</v>
      </c>
      <c r="B408" t="s">
        <v>1</v>
      </c>
      <c r="C408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5">
      <c r="A409" s="1">
        <v>0.62928019675925928</v>
      </c>
      <c r="B409" t="s">
        <v>1</v>
      </c>
      <c r="C409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5">
      <c r="A410" s="1">
        <v>0.62928031250000005</v>
      </c>
      <c r="B410" t="s">
        <v>1</v>
      </c>
      <c r="C410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5">
      <c r="A411" s="1">
        <v>0.62928042824074071</v>
      </c>
      <c r="B411" t="s">
        <v>1</v>
      </c>
      <c r="C411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 s="1">
        <v>0.62928054398148148</v>
      </c>
      <c r="B412" t="s">
        <v>1</v>
      </c>
      <c r="C412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5">
      <c r="A413" s="1">
        <v>0.62928065972222225</v>
      </c>
      <c r="B413" t="s">
        <v>1</v>
      </c>
      <c r="C413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</row>
    <row r="414" spans="1:19" x14ac:dyDescent="0.25">
      <c r="A414" s="1">
        <v>0.62928077546296302</v>
      </c>
      <c r="B414" t="s">
        <v>1</v>
      </c>
      <c r="C414">
        <v>413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5">
      <c r="A415" s="1">
        <v>0.62928089120370367</v>
      </c>
      <c r="B415" t="s">
        <v>1</v>
      </c>
      <c r="C415">
        <v>414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</row>
    <row r="416" spans="1:19" x14ac:dyDescent="0.25">
      <c r="A416" s="1">
        <v>0.62928100694444444</v>
      </c>
      <c r="B416" t="s">
        <v>1</v>
      </c>
      <c r="C416">
        <v>415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5">
      <c r="A417" s="1">
        <v>0.62928112268518521</v>
      </c>
      <c r="B417" t="s">
        <v>1</v>
      </c>
      <c r="C417">
        <v>416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5">
      <c r="A418" s="1">
        <v>0.62928123842592587</v>
      </c>
      <c r="B418" t="s">
        <v>1</v>
      </c>
      <c r="C418">
        <v>417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5">
      <c r="A419" s="1">
        <v>0.62928135416666664</v>
      </c>
      <c r="B419" t="s">
        <v>1</v>
      </c>
      <c r="C419">
        <v>418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5">
      <c r="A420" s="1">
        <v>0.62928146990740741</v>
      </c>
      <c r="B420" t="s">
        <v>1</v>
      </c>
      <c r="C420">
        <v>419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5">
      <c r="A421" s="1">
        <v>0.62928158564814818</v>
      </c>
      <c r="B421" t="s">
        <v>1</v>
      </c>
      <c r="C421">
        <v>420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</row>
    <row r="422" spans="1:19" x14ac:dyDescent="0.25">
      <c r="A422" s="1">
        <v>0.62928170138888884</v>
      </c>
      <c r="B422" t="s">
        <v>1</v>
      </c>
      <c r="C422">
        <v>421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</row>
    <row r="423" spans="1:19" x14ac:dyDescent="0.25">
      <c r="A423" s="1">
        <v>0.62928181712962961</v>
      </c>
      <c r="B423" t="s">
        <v>1</v>
      </c>
      <c r="C423">
        <v>422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5">
      <c r="A424" s="1">
        <v>0.62928193287037038</v>
      </c>
      <c r="B424" t="s">
        <v>2</v>
      </c>
      <c r="C424">
        <v>423</v>
      </c>
      <c r="D424">
        <v>0</v>
      </c>
      <c r="E424">
        <v>1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5">
      <c r="A425" s="1">
        <v>0.62928204861111114</v>
      </c>
      <c r="B425" t="s">
        <v>2</v>
      </c>
      <c r="C425">
        <v>424</v>
      </c>
      <c r="D425">
        <v>0</v>
      </c>
      <c r="E425">
        <v>1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5">
      <c r="A426" s="1">
        <v>0.6292821643518518</v>
      </c>
      <c r="B426" t="s">
        <v>1</v>
      </c>
      <c r="C426">
        <v>425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5">
      <c r="A427" s="1">
        <v>0.62928228009259257</v>
      </c>
      <c r="B427" t="s">
        <v>1</v>
      </c>
      <c r="C427">
        <v>426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5">
      <c r="A428" s="1">
        <v>0.62928239583333334</v>
      </c>
      <c r="B428" t="s">
        <v>1</v>
      </c>
      <c r="C428">
        <v>427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5">
      <c r="A429" s="1">
        <v>0.62928251157407411</v>
      </c>
      <c r="B429" t="s">
        <v>1</v>
      </c>
      <c r="C429">
        <v>428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5">
      <c r="A430" s="1">
        <v>0.62928262731481477</v>
      </c>
      <c r="B430" t="s">
        <v>1</v>
      </c>
      <c r="C430">
        <v>429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5">
      <c r="A431" s="1">
        <v>0.62928274305555554</v>
      </c>
      <c r="B431" t="s">
        <v>1</v>
      </c>
      <c r="C431">
        <v>430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5">
      <c r="A432" s="1">
        <v>0.62928285879629631</v>
      </c>
      <c r="B432" t="s">
        <v>1</v>
      </c>
      <c r="C432">
        <v>431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5">
      <c r="A433" s="1">
        <v>0.62928297453703708</v>
      </c>
      <c r="B433" t="s">
        <v>1</v>
      </c>
      <c r="C433">
        <v>432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5">
      <c r="A434" s="1">
        <v>0.62928309027777773</v>
      </c>
      <c r="B434" t="s">
        <v>1</v>
      </c>
      <c r="C434">
        <v>433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5">
      <c r="A435" s="1">
        <v>0.6292832060185185</v>
      </c>
      <c r="B435" t="s">
        <v>1</v>
      </c>
      <c r="C435">
        <v>434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5">
      <c r="A436" s="1">
        <v>0.62928331018518524</v>
      </c>
      <c r="B436" t="s">
        <v>1</v>
      </c>
      <c r="C436">
        <v>435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5">
      <c r="A437" s="1">
        <v>0.62928343750000004</v>
      </c>
      <c r="B437" t="s">
        <v>1</v>
      </c>
      <c r="C437">
        <v>436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5">
      <c r="A438" s="1">
        <v>0.6292835532407407</v>
      </c>
      <c r="B438" t="s">
        <v>1</v>
      </c>
      <c r="C438">
        <v>437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5">
      <c r="A439" s="1">
        <v>0.62928366898148147</v>
      </c>
      <c r="B439" t="s">
        <v>1</v>
      </c>
      <c r="C439">
        <v>438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 x14ac:dyDescent="0.25">
      <c r="A440" s="1">
        <v>0.62928378472222224</v>
      </c>
      <c r="B440" t="s">
        <v>1</v>
      </c>
      <c r="C440">
        <v>439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5">
      <c r="A441" s="1">
        <v>0.62928390046296301</v>
      </c>
      <c r="B441" t="s">
        <v>1</v>
      </c>
      <c r="C441">
        <v>440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5">
      <c r="A442" s="1">
        <v>0.62928400462962963</v>
      </c>
      <c r="B442" t="s">
        <v>1</v>
      </c>
      <c r="C442">
        <v>441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5">
      <c r="A443" s="1">
        <v>0.6292841203703704</v>
      </c>
      <c r="B443" t="s">
        <v>1</v>
      </c>
      <c r="C443">
        <v>442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5">
      <c r="A444" s="1">
        <v>0.62928424768518521</v>
      </c>
      <c r="B444" t="s">
        <v>2</v>
      </c>
      <c r="C444">
        <v>443</v>
      </c>
      <c r="D444">
        <v>0</v>
      </c>
      <c r="E444">
        <v>1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5">
      <c r="A445" s="1">
        <v>0.62928436342592597</v>
      </c>
      <c r="B445" t="s">
        <v>2</v>
      </c>
      <c r="C445">
        <v>444</v>
      </c>
      <c r="D445">
        <v>0</v>
      </c>
      <c r="E445">
        <v>1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5">
      <c r="A446" s="1">
        <v>0.62928447916666663</v>
      </c>
      <c r="B446" t="s">
        <v>1</v>
      </c>
      <c r="C446">
        <v>445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5">
      <c r="A447" s="1">
        <v>0.6292845949074074</v>
      </c>
      <c r="B447" t="s">
        <v>1</v>
      </c>
      <c r="C447">
        <v>446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5">
      <c r="A448" s="1">
        <v>0.62928469907407403</v>
      </c>
      <c r="B448" t="s">
        <v>1</v>
      </c>
      <c r="C448">
        <v>447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5">
      <c r="A449" s="1">
        <v>0.6292848148148148</v>
      </c>
      <c r="B449" t="s">
        <v>1</v>
      </c>
      <c r="C449">
        <v>448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5">
      <c r="A450" s="1">
        <v>0.6292849421296296</v>
      </c>
      <c r="B450" t="s">
        <v>1</v>
      </c>
      <c r="C450">
        <v>449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5">
      <c r="A451" s="1">
        <v>0.62928505787037037</v>
      </c>
      <c r="B451" t="s">
        <v>1</v>
      </c>
      <c r="C451">
        <v>450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5">
      <c r="A452" s="1">
        <v>0.62928517361111114</v>
      </c>
      <c r="B452" t="s">
        <v>1</v>
      </c>
      <c r="C452">
        <v>451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5">
      <c r="A453" s="1">
        <v>0.62928527777777776</v>
      </c>
      <c r="B453" t="s">
        <v>1</v>
      </c>
      <c r="C453">
        <v>452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</row>
    <row r="454" spans="1:19" x14ac:dyDescent="0.25">
      <c r="A454" s="1">
        <v>0.62928540509259256</v>
      </c>
      <c r="B454" t="s">
        <v>1</v>
      </c>
      <c r="C454">
        <v>453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</row>
    <row r="455" spans="1:19" x14ac:dyDescent="0.25">
      <c r="A455" s="1">
        <v>0.62928552083333333</v>
      </c>
      <c r="B455" t="s">
        <v>1</v>
      </c>
      <c r="C455">
        <v>454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5">
      <c r="A456" s="1">
        <v>0.62928562499999996</v>
      </c>
      <c r="B456" t="s">
        <v>1</v>
      </c>
      <c r="C456">
        <v>455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5">
      <c r="A457" s="1">
        <v>0.62928575231481476</v>
      </c>
      <c r="B457" t="s">
        <v>1</v>
      </c>
      <c r="C457">
        <v>456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5">
      <c r="A458" s="1">
        <v>0.62928586805555553</v>
      </c>
      <c r="B458" t="s">
        <v>1</v>
      </c>
      <c r="C458">
        <v>457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5">
      <c r="A459" s="1">
        <v>0.62928597222222227</v>
      </c>
      <c r="B459" t="s">
        <v>1</v>
      </c>
      <c r="C459">
        <v>458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5">
      <c r="A460" s="1">
        <v>0.62928608796296293</v>
      </c>
      <c r="B460" t="s">
        <v>1</v>
      </c>
      <c r="C460">
        <v>459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5">
      <c r="A461" s="1">
        <v>0.62928620370370369</v>
      </c>
      <c r="B461" t="s">
        <v>1</v>
      </c>
      <c r="C461">
        <v>460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5">
      <c r="A462" s="1">
        <v>0.62928631944444446</v>
      </c>
      <c r="B462" t="s">
        <v>1</v>
      </c>
      <c r="C462">
        <v>461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</row>
    <row r="463" spans="1:19" x14ac:dyDescent="0.25">
      <c r="A463" s="1">
        <v>0.62928643518518523</v>
      </c>
      <c r="B463" t="s">
        <v>1</v>
      </c>
      <c r="C463">
        <v>462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1">
        <v>0.62928655092592589</v>
      </c>
      <c r="B464" t="s">
        <v>2</v>
      </c>
      <c r="C464">
        <v>463</v>
      </c>
      <c r="D464">
        <v>0</v>
      </c>
      <c r="E464">
        <v>1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5">
      <c r="A465" s="1">
        <v>0.62928666666666666</v>
      </c>
      <c r="B465" t="s">
        <v>2</v>
      </c>
      <c r="C465">
        <v>464</v>
      </c>
      <c r="D465">
        <v>0</v>
      </c>
      <c r="E465">
        <v>1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5">
      <c r="A466" s="1">
        <v>0.62928678240740743</v>
      </c>
      <c r="B466" t="s">
        <v>1</v>
      </c>
      <c r="C466">
        <v>465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5">
      <c r="A467" s="1">
        <v>0.6292868981481482</v>
      </c>
      <c r="B467" t="s">
        <v>1</v>
      </c>
      <c r="C467">
        <v>466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</row>
    <row r="468" spans="1:19" x14ac:dyDescent="0.25">
      <c r="A468" s="1">
        <v>0.62928701388888886</v>
      </c>
      <c r="B468" t="s">
        <v>1</v>
      </c>
      <c r="C468">
        <v>467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5">
      <c r="A469" s="1">
        <v>0.62928712962962963</v>
      </c>
      <c r="B469" t="s">
        <v>1</v>
      </c>
      <c r="C469">
        <v>468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5">
      <c r="A470" s="1">
        <v>0.6292872453703704</v>
      </c>
      <c r="B470" t="s">
        <v>1</v>
      </c>
      <c r="C470">
        <v>469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</row>
    <row r="471" spans="1:19" x14ac:dyDescent="0.25">
      <c r="A471" s="1">
        <v>0.62928736111111117</v>
      </c>
      <c r="B471" t="s">
        <v>1</v>
      </c>
      <c r="C471">
        <v>470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</row>
    <row r="472" spans="1:19" x14ac:dyDescent="0.25">
      <c r="A472" s="1">
        <v>0.62928747685185182</v>
      </c>
      <c r="B472" t="s">
        <v>1</v>
      </c>
      <c r="C472">
        <v>471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5">
      <c r="A473" s="1">
        <v>0.62928759259259259</v>
      </c>
      <c r="B473" t="s">
        <v>1</v>
      </c>
      <c r="C473">
        <v>472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5">
      <c r="A474" s="1">
        <v>0.62928770833333336</v>
      </c>
      <c r="B474" t="s">
        <v>1</v>
      </c>
      <c r="C474">
        <v>473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</row>
    <row r="475" spans="1:19" x14ac:dyDescent="0.25">
      <c r="A475" s="1">
        <v>0.62928782407407402</v>
      </c>
      <c r="B475" t="s">
        <v>1</v>
      </c>
      <c r="C475">
        <v>474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5">
      <c r="A476" s="1">
        <v>0.62928793981481479</v>
      </c>
      <c r="B476" t="s">
        <v>1</v>
      </c>
      <c r="C476">
        <v>475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5">
      <c r="A477" s="1">
        <v>0.62928805555555556</v>
      </c>
      <c r="B477" t="s">
        <v>1</v>
      </c>
      <c r="C477">
        <v>476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5">
      <c r="A478" s="1">
        <v>0.62928817129629633</v>
      </c>
      <c r="B478" t="s">
        <v>1</v>
      </c>
      <c r="C478">
        <v>477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5">
      <c r="A479" s="1">
        <v>0.62928828703703699</v>
      </c>
      <c r="B479" t="s">
        <v>1</v>
      </c>
      <c r="C479">
        <v>478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5">
      <c r="A480" s="1">
        <v>0.62928840277777776</v>
      </c>
      <c r="B480" t="s">
        <v>1</v>
      </c>
      <c r="C480">
        <v>479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5">
      <c r="A481" s="1">
        <v>0.62928851851851852</v>
      </c>
      <c r="B481" t="s">
        <v>1</v>
      </c>
      <c r="C481">
        <v>480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5">
      <c r="A482" s="1">
        <v>0.62928863425925929</v>
      </c>
      <c r="B482" t="s">
        <v>1</v>
      </c>
      <c r="C482">
        <v>481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5">
      <c r="A483" s="1">
        <v>0.62928874999999995</v>
      </c>
      <c r="B483" t="s">
        <v>1</v>
      </c>
      <c r="C483">
        <v>482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5">
      <c r="A484" s="1">
        <v>0.62928886574074072</v>
      </c>
      <c r="B484" t="s">
        <v>2</v>
      </c>
      <c r="C484">
        <v>483</v>
      </c>
      <c r="D484">
        <v>0</v>
      </c>
      <c r="E484">
        <v>1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5">
      <c r="A485" s="1">
        <v>0.62928898148148149</v>
      </c>
      <c r="B485" t="s">
        <v>2</v>
      </c>
      <c r="C485">
        <v>484</v>
      </c>
      <c r="D485">
        <v>0</v>
      </c>
      <c r="E485">
        <v>1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5">
      <c r="A486" s="1">
        <v>0.62928909722222226</v>
      </c>
      <c r="B486" t="s">
        <v>1</v>
      </c>
      <c r="C486">
        <v>485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5">
      <c r="A487" s="1">
        <v>0.62928921296296292</v>
      </c>
      <c r="B487" t="s">
        <v>1</v>
      </c>
      <c r="C487">
        <v>486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5">
      <c r="A488" s="1">
        <v>0.62928932870370369</v>
      </c>
      <c r="B488" t="s">
        <v>1</v>
      </c>
      <c r="C488">
        <v>487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5">
      <c r="A489" s="1">
        <v>0.62928944444444446</v>
      </c>
      <c r="B489" t="s">
        <v>1</v>
      </c>
      <c r="C489">
        <v>488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5">
      <c r="A490" s="1">
        <v>0.62928956018518523</v>
      </c>
      <c r="B490" t="s">
        <v>1</v>
      </c>
      <c r="C490">
        <v>489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5">
      <c r="A491" s="1">
        <v>0.62928967592592588</v>
      </c>
      <c r="B491" t="s">
        <v>1</v>
      </c>
      <c r="C491">
        <v>490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</row>
    <row r="492" spans="1:19" x14ac:dyDescent="0.25">
      <c r="A492" s="1">
        <v>0.62928979166666665</v>
      </c>
      <c r="B492" t="s">
        <v>1</v>
      </c>
      <c r="C492">
        <v>491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5">
      <c r="A493" s="1">
        <v>0.62928990740740742</v>
      </c>
      <c r="B493" t="s">
        <v>1</v>
      </c>
      <c r="C493">
        <v>492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5">
      <c r="A494" s="1">
        <v>0.62929002314814819</v>
      </c>
      <c r="B494" t="s">
        <v>1</v>
      </c>
      <c r="C494">
        <v>493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5">
      <c r="A495" s="1">
        <v>0.62929013888888885</v>
      </c>
      <c r="B495" t="s">
        <v>1</v>
      </c>
      <c r="C495">
        <v>494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5">
      <c r="A496" s="1">
        <v>0.62929025462962962</v>
      </c>
      <c r="B496" t="s">
        <v>1</v>
      </c>
      <c r="C496">
        <v>495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5">
      <c r="A497" s="1">
        <v>0.62929037037037039</v>
      </c>
      <c r="B497" t="s">
        <v>1</v>
      </c>
      <c r="C497">
        <v>496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5">
      <c r="A498" s="1">
        <v>0.62929048611111116</v>
      </c>
      <c r="B498" t="s">
        <v>1</v>
      </c>
      <c r="C498">
        <v>497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5">
      <c r="A499" s="1">
        <v>0.62929060185185182</v>
      </c>
      <c r="B499" t="s">
        <v>1</v>
      </c>
      <c r="C499">
        <v>498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5">
      <c r="A500" s="1">
        <v>0.62929083333333335</v>
      </c>
      <c r="B500" t="s">
        <v>1</v>
      </c>
      <c r="C500">
        <v>499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5">
      <c r="A501" s="1">
        <v>0.62929094907407412</v>
      </c>
      <c r="B501" t="s">
        <v>1</v>
      </c>
      <c r="C501">
        <v>500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5">
      <c r="A502" s="1">
        <v>0.62929106481481478</v>
      </c>
      <c r="B502" t="s">
        <v>1</v>
      </c>
      <c r="C502">
        <v>501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5">
      <c r="A503" s="1">
        <v>0.62929118055555555</v>
      </c>
      <c r="B503" t="s">
        <v>2</v>
      </c>
      <c r="C503">
        <v>502</v>
      </c>
      <c r="D503">
        <v>0</v>
      </c>
      <c r="E503">
        <v>1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5">
      <c r="A504" s="1">
        <v>0.62929129629629632</v>
      </c>
      <c r="B504" t="s">
        <v>2</v>
      </c>
      <c r="C504">
        <v>503</v>
      </c>
      <c r="D504">
        <v>0</v>
      </c>
      <c r="E504">
        <v>1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5">
      <c r="A505" s="1">
        <v>0.62929141203703709</v>
      </c>
      <c r="B505" t="s">
        <v>1</v>
      </c>
      <c r="C505">
        <v>504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5">
      <c r="A506" s="1">
        <v>0.62929152777777775</v>
      </c>
      <c r="B506" t="s">
        <v>1</v>
      </c>
      <c r="C506">
        <v>505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5">
      <c r="A507" s="1">
        <v>0.62929164351851852</v>
      </c>
      <c r="B507" t="s">
        <v>1</v>
      </c>
      <c r="C507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5">
      <c r="A508" s="1">
        <v>0.62929175925925929</v>
      </c>
      <c r="B508" t="s">
        <v>1</v>
      </c>
      <c r="C508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</row>
    <row r="509" spans="1:19" x14ac:dyDescent="0.25">
      <c r="A509" s="1">
        <v>0.62929186342592591</v>
      </c>
      <c r="B509" t="s">
        <v>1</v>
      </c>
      <c r="C509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5">
      <c r="A510" s="1">
        <v>0.62929197916666668</v>
      </c>
      <c r="B510" t="s">
        <v>1</v>
      </c>
      <c r="C510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5">
      <c r="A511" s="1">
        <v>0.62929209490740745</v>
      </c>
      <c r="B511" t="s">
        <v>1</v>
      </c>
      <c r="C511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5">
      <c r="A512" s="1">
        <v>0.62929222222222225</v>
      </c>
      <c r="B512" t="s">
        <v>1</v>
      </c>
      <c r="C512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5">
      <c r="A513" s="1">
        <v>0.62929232638888888</v>
      </c>
      <c r="B513" t="s">
        <v>1</v>
      </c>
      <c r="C513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5">
      <c r="A514" s="1">
        <v>0.62929244212962965</v>
      </c>
      <c r="B514" t="s">
        <v>1</v>
      </c>
      <c r="C514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</row>
    <row r="515" spans="1:19" x14ac:dyDescent="0.25">
      <c r="A515" s="1">
        <v>0.62929255787037042</v>
      </c>
      <c r="B515" t="s">
        <v>1</v>
      </c>
      <c r="C515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5">
      <c r="A516" s="1">
        <v>0.62929267361111108</v>
      </c>
      <c r="B516" t="s">
        <v>1</v>
      </c>
      <c r="C516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5">
      <c r="A517" s="1">
        <v>0.62929278935185184</v>
      </c>
      <c r="B517" t="s">
        <v>1</v>
      </c>
      <c r="C517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5">
      <c r="A518" s="1">
        <v>0.62929290509259261</v>
      </c>
      <c r="B518" t="s">
        <v>1</v>
      </c>
      <c r="C518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5">
      <c r="A519" s="1">
        <v>0.62929302083333338</v>
      </c>
      <c r="B519" t="s">
        <v>1</v>
      </c>
      <c r="C519">
        <v>518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5">
      <c r="A520" s="1">
        <v>0.62929313657407404</v>
      </c>
      <c r="B520" t="s">
        <v>1</v>
      </c>
      <c r="C520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</row>
    <row r="521" spans="1:19" x14ac:dyDescent="0.25">
      <c r="A521" s="1">
        <v>0.62929325231481481</v>
      </c>
      <c r="B521" t="s">
        <v>1</v>
      </c>
      <c r="C521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5">
      <c r="A522" s="1">
        <v>0.62929336805555558</v>
      </c>
      <c r="B522" t="s">
        <v>1</v>
      </c>
      <c r="C522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5">
      <c r="A523" s="1">
        <v>0.62929348379629635</v>
      </c>
      <c r="B523" t="s">
        <v>2</v>
      </c>
      <c r="C523">
        <v>522</v>
      </c>
      <c r="D523">
        <v>0</v>
      </c>
      <c r="E523">
        <v>1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5">
      <c r="A524" s="1">
        <v>0.62929359953703701</v>
      </c>
      <c r="B524" t="s">
        <v>2</v>
      </c>
      <c r="C524">
        <v>523</v>
      </c>
      <c r="D524">
        <v>0</v>
      </c>
      <c r="E524">
        <v>1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</row>
    <row r="525" spans="1:19" x14ac:dyDescent="0.25">
      <c r="A525" s="1">
        <v>0.62929371527777778</v>
      </c>
      <c r="B525" t="s">
        <v>1</v>
      </c>
      <c r="C525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5">
      <c r="A526" s="1">
        <v>0.62929383101851855</v>
      </c>
      <c r="B526" t="s">
        <v>1</v>
      </c>
      <c r="C526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5">
      <c r="A527" s="1">
        <v>0.6292939467592592</v>
      </c>
      <c r="B527" t="s">
        <v>1</v>
      </c>
      <c r="C527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5">
      <c r="A528" s="1">
        <v>0.62929406249999997</v>
      </c>
      <c r="B528" t="s">
        <v>1</v>
      </c>
      <c r="C528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5">
      <c r="A529" s="1">
        <v>0.62929417824074074</v>
      </c>
      <c r="B529" t="s">
        <v>1</v>
      </c>
      <c r="C529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5">
      <c r="A530" s="1">
        <v>0.62929429398148151</v>
      </c>
      <c r="B530" t="s">
        <v>1</v>
      </c>
      <c r="C530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5">
      <c r="A531" s="1">
        <v>0.62929440972222217</v>
      </c>
      <c r="B531" t="s">
        <v>1</v>
      </c>
      <c r="C531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5">
      <c r="A532" s="1">
        <v>0.62929452546296294</v>
      </c>
      <c r="B532" t="s">
        <v>1</v>
      </c>
      <c r="C532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5">
      <c r="A533" s="1">
        <v>0.62929464120370371</v>
      </c>
      <c r="B533" t="s">
        <v>1</v>
      </c>
      <c r="C533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</row>
    <row r="534" spans="1:19" x14ac:dyDescent="0.25">
      <c r="A534" s="1">
        <v>0.62929475694444448</v>
      </c>
      <c r="B534" t="s">
        <v>1</v>
      </c>
      <c r="C534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5">
      <c r="A535" s="1">
        <v>0.62929487268518514</v>
      </c>
      <c r="B535" t="s">
        <v>1</v>
      </c>
      <c r="C535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5">
      <c r="A536" s="1">
        <v>0.62929498842592591</v>
      </c>
      <c r="B536" t="s">
        <v>1</v>
      </c>
      <c r="C536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5">
      <c r="A537" s="1">
        <v>0.62929510416666667</v>
      </c>
      <c r="B537" t="s">
        <v>1</v>
      </c>
      <c r="C537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</row>
    <row r="538" spans="1:19" x14ac:dyDescent="0.25">
      <c r="A538" s="1">
        <v>0.62929521990740744</v>
      </c>
      <c r="B538" t="s">
        <v>1</v>
      </c>
      <c r="C538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5">
      <c r="A539" s="1">
        <v>0.6292953356481481</v>
      </c>
      <c r="B539" t="s">
        <v>1</v>
      </c>
      <c r="C539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5">
      <c r="A540" s="1">
        <v>0.62929545138888887</v>
      </c>
      <c r="B540" t="s">
        <v>1</v>
      </c>
      <c r="C540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5">
      <c r="A541" s="1">
        <v>0.62929556712962964</v>
      </c>
      <c r="B541" t="s">
        <v>1</v>
      </c>
      <c r="C541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5">
      <c r="A542" s="1">
        <v>0.62929568287037041</v>
      </c>
      <c r="B542" t="s">
        <v>1</v>
      </c>
      <c r="C542">
        <v>541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5">
      <c r="A543" s="1">
        <v>0.62929579861111107</v>
      </c>
      <c r="B543" t="s">
        <v>2</v>
      </c>
      <c r="C543">
        <v>542</v>
      </c>
      <c r="D543">
        <v>0</v>
      </c>
      <c r="E543">
        <v>1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5">
      <c r="A544" s="1">
        <v>0.62929591435185184</v>
      </c>
      <c r="B544" t="s">
        <v>2</v>
      </c>
      <c r="C544">
        <v>543</v>
      </c>
      <c r="D544">
        <v>0</v>
      </c>
      <c r="E544">
        <v>1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5">
      <c r="A545" s="1">
        <v>0.62929603009259261</v>
      </c>
      <c r="B545" t="s">
        <v>1</v>
      </c>
      <c r="C545">
        <v>544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5">
      <c r="A546" s="1">
        <v>0.62929614583333338</v>
      </c>
      <c r="B546" t="s">
        <v>1</v>
      </c>
      <c r="C546">
        <v>545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5">
      <c r="A547" s="1">
        <v>0.62929626157407403</v>
      </c>
      <c r="B547" t="s">
        <v>1</v>
      </c>
      <c r="C547">
        <v>546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</row>
    <row r="548" spans="1:19" x14ac:dyDescent="0.25">
      <c r="A548" s="1">
        <v>0.6292963773148148</v>
      </c>
      <c r="B548" t="s">
        <v>1</v>
      </c>
      <c r="C548">
        <v>547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5">
      <c r="A549" s="1">
        <v>0.62929649305555557</v>
      </c>
      <c r="B549" t="s">
        <v>1</v>
      </c>
      <c r="C549">
        <v>548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5">
      <c r="A550" s="1">
        <v>0.62929660879629634</v>
      </c>
      <c r="B550" t="s">
        <v>1</v>
      </c>
      <c r="C550">
        <v>549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5">
      <c r="A551" s="1">
        <v>0.629296724537037</v>
      </c>
      <c r="B551" t="s">
        <v>1</v>
      </c>
      <c r="C551">
        <v>550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5">
      <c r="A552" s="1">
        <v>0.62929684027777777</v>
      </c>
      <c r="B552" t="s">
        <v>1</v>
      </c>
      <c r="C552">
        <v>551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5">
      <c r="A553" s="1">
        <v>0.62929695601851854</v>
      </c>
      <c r="B553" t="s">
        <v>1</v>
      </c>
      <c r="C553">
        <v>552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5">
      <c r="A554" s="1">
        <v>0.62929707175925931</v>
      </c>
      <c r="B554" t="s">
        <v>1</v>
      </c>
      <c r="C554">
        <v>553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5">
      <c r="A555" s="1">
        <v>0.62929718749999997</v>
      </c>
      <c r="B555" t="s">
        <v>1</v>
      </c>
      <c r="C555">
        <v>554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5">
      <c r="A556" s="1">
        <v>0.62929730324074074</v>
      </c>
      <c r="B556" t="s">
        <v>1</v>
      </c>
      <c r="C556">
        <v>555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5">
      <c r="A557" s="1">
        <v>0.6292974189814815</v>
      </c>
      <c r="B557" t="s">
        <v>1</v>
      </c>
      <c r="C557">
        <v>556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5">
      <c r="A558" s="1">
        <v>0.62929753472222227</v>
      </c>
      <c r="B558" t="s">
        <v>1</v>
      </c>
      <c r="C558">
        <v>557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5">
      <c r="A559" s="1">
        <v>0.6292976388888889</v>
      </c>
      <c r="B559" t="s">
        <v>1</v>
      </c>
      <c r="C559">
        <v>558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5">
      <c r="A560" s="1">
        <v>0.62929775462962967</v>
      </c>
      <c r="B560" t="s">
        <v>1</v>
      </c>
      <c r="C560">
        <v>559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5">
      <c r="A561" s="1">
        <v>0.62929788194444447</v>
      </c>
      <c r="B561" t="s">
        <v>1</v>
      </c>
      <c r="C561">
        <v>560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5">
      <c r="A562" s="1">
        <v>0.62929799768518524</v>
      </c>
      <c r="B562" t="s">
        <v>1</v>
      </c>
      <c r="C562">
        <v>561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</row>
    <row r="563" spans="1:19" x14ac:dyDescent="0.25">
      <c r="A563" s="1">
        <v>0.6292981134259259</v>
      </c>
      <c r="B563" t="s">
        <v>2</v>
      </c>
      <c r="C563">
        <v>562</v>
      </c>
      <c r="D563">
        <v>0</v>
      </c>
      <c r="E563">
        <v>1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5">
      <c r="A564" s="1">
        <v>0.62929822916666667</v>
      </c>
      <c r="B564" t="s">
        <v>2</v>
      </c>
      <c r="C564">
        <v>563</v>
      </c>
      <c r="D564">
        <v>0</v>
      </c>
      <c r="E564">
        <v>1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5">
      <c r="A565" s="1">
        <v>0.62929833333333329</v>
      </c>
      <c r="B565" t="s">
        <v>1</v>
      </c>
      <c r="C565">
        <v>564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5">
      <c r="A566" s="1">
        <v>0.62929844907407406</v>
      </c>
      <c r="B566" t="s">
        <v>1</v>
      </c>
      <c r="C566">
        <v>565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5">
      <c r="A567" s="1">
        <v>0.62929857638888886</v>
      </c>
      <c r="B567" t="s">
        <v>1</v>
      </c>
      <c r="C567">
        <v>566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5">
      <c r="A568" s="1">
        <v>0.62929869212962963</v>
      </c>
      <c r="B568" t="s">
        <v>1</v>
      </c>
      <c r="C568">
        <v>567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5">
      <c r="A569" s="1">
        <v>0.6292988078703704</v>
      </c>
      <c r="B569" t="s">
        <v>1</v>
      </c>
      <c r="C569">
        <v>568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5">
      <c r="A570" s="1">
        <v>0.62929892361111106</v>
      </c>
      <c r="B570" t="s">
        <v>1</v>
      </c>
      <c r="C570">
        <v>569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5">
      <c r="A571" s="1">
        <v>0.6292990277777778</v>
      </c>
      <c r="B571" t="s">
        <v>1</v>
      </c>
      <c r="C571">
        <v>570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25">
      <c r="A572" s="1">
        <v>0.62929914351851857</v>
      </c>
      <c r="B572" t="s">
        <v>1</v>
      </c>
      <c r="C572">
        <v>571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</row>
    <row r="573" spans="1:19" x14ac:dyDescent="0.25">
      <c r="A573" s="1">
        <v>0.62929925925925922</v>
      </c>
      <c r="B573" t="s">
        <v>1</v>
      </c>
      <c r="C573">
        <v>572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5">
      <c r="A574" s="1">
        <v>0.62929938657407403</v>
      </c>
      <c r="B574" t="s">
        <v>1</v>
      </c>
      <c r="C574">
        <v>573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5">
      <c r="A575" s="1">
        <v>0.6292995023148148</v>
      </c>
      <c r="B575" t="s">
        <v>1</v>
      </c>
      <c r="C575">
        <v>574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5">
      <c r="A576" s="1">
        <v>0.62929960648148153</v>
      </c>
      <c r="B576" t="s">
        <v>1</v>
      </c>
      <c r="C576">
        <v>575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5">
      <c r="A577" s="1">
        <v>0.62929973379629633</v>
      </c>
      <c r="B577" t="s">
        <v>1</v>
      </c>
      <c r="C577">
        <v>576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5">
      <c r="A578" s="1">
        <v>0.62929983796296296</v>
      </c>
      <c r="B578" t="s">
        <v>1</v>
      </c>
      <c r="C578">
        <v>577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5">
      <c r="A579" s="1">
        <v>0.62929995370370373</v>
      </c>
      <c r="B579" t="s">
        <v>1</v>
      </c>
      <c r="C579">
        <v>578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5">
      <c r="A580" s="1">
        <v>0.6293000694444445</v>
      </c>
      <c r="B580" t="s">
        <v>1</v>
      </c>
      <c r="C580">
        <v>579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5">
      <c r="A581" s="1">
        <v>0.62930018518518516</v>
      </c>
      <c r="B581" t="s">
        <v>1</v>
      </c>
      <c r="C581">
        <v>580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5">
      <c r="A582" s="1">
        <v>0.62930030092592593</v>
      </c>
      <c r="B582" t="s">
        <v>1</v>
      </c>
      <c r="C582">
        <v>581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5">
      <c r="A583" s="1">
        <v>0.6293004166666667</v>
      </c>
      <c r="B583" t="s">
        <v>2</v>
      </c>
      <c r="C583">
        <v>582</v>
      </c>
      <c r="D583">
        <v>0</v>
      </c>
      <c r="E583">
        <v>1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5">
      <c r="A584" s="1">
        <v>0.62930053240740735</v>
      </c>
      <c r="B584" t="s">
        <v>2</v>
      </c>
      <c r="C584">
        <v>583</v>
      </c>
      <c r="D584">
        <v>0</v>
      </c>
      <c r="E584">
        <v>1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5">
      <c r="A585" s="1">
        <v>0.62930064814814812</v>
      </c>
      <c r="B585" t="s">
        <v>1</v>
      </c>
      <c r="C585">
        <v>584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</row>
    <row r="586" spans="1:19" x14ac:dyDescent="0.25">
      <c r="A586" s="1">
        <v>0.62930076388888889</v>
      </c>
      <c r="B586" t="s">
        <v>1</v>
      </c>
      <c r="C586">
        <v>585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5">
      <c r="A587" s="1">
        <v>0.62930087962962966</v>
      </c>
      <c r="B587" t="s">
        <v>1</v>
      </c>
      <c r="C587">
        <v>586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5">
      <c r="A588" s="1">
        <v>0.62930099537037032</v>
      </c>
      <c r="B588" t="s">
        <v>1</v>
      </c>
      <c r="C588">
        <v>587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5">
      <c r="A589" s="1">
        <v>0.62930111111111109</v>
      </c>
      <c r="B589" t="s">
        <v>1</v>
      </c>
      <c r="C589">
        <v>588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5">
      <c r="A590" s="1">
        <v>0.62930122685185186</v>
      </c>
      <c r="B590" t="s">
        <v>1</v>
      </c>
      <c r="C590">
        <v>589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5">
      <c r="A591" s="1">
        <v>0.62930134259259263</v>
      </c>
      <c r="B591" t="s">
        <v>1</v>
      </c>
      <c r="C591">
        <v>590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5">
      <c r="A592" s="1">
        <v>0.62930145833333329</v>
      </c>
      <c r="B592" t="s">
        <v>1</v>
      </c>
      <c r="C592">
        <v>591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1">
        <v>0.62930157407407405</v>
      </c>
      <c r="B593" t="s">
        <v>1</v>
      </c>
      <c r="C593">
        <v>592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5">
      <c r="A594" s="1">
        <v>0.62930168981481482</v>
      </c>
      <c r="B594" t="s">
        <v>1</v>
      </c>
      <c r="C594">
        <v>593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5">
      <c r="A595" s="1">
        <v>0.62930180555555559</v>
      </c>
      <c r="B595" t="s">
        <v>1</v>
      </c>
      <c r="C595">
        <v>594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5">
      <c r="A596" s="1">
        <v>0.62930192129629625</v>
      </c>
      <c r="B596" t="s">
        <v>1</v>
      </c>
      <c r="C596">
        <v>595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5">
      <c r="A597" s="1">
        <v>0.62930203703703702</v>
      </c>
      <c r="B597" t="s">
        <v>1</v>
      </c>
      <c r="C597">
        <v>596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5">
      <c r="A598" s="1">
        <v>0.62930215277777779</v>
      </c>
      <c r="B598" t="s">
        <v>1</v>
      </c>
      <c r="C598">
        <v>597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</row>
    <row r="599" spans="1:19" x14ac:dyDescent="0.25">
      <c r="A599" s="1">
        <v>0.62930238425925922</v>
      </c>
      <c r="B599" t="s">
        <v>1</v>
      </c>
      <c r="C599">
        <v>598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5">
      <c r="A600" s="1">
        <v>0.62930249999999999</v>
      </c>
      <c r="B600" t="s">
        <v>1</v>
      </c>
      <c r="C600">
        <v>599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5">
      <c r="A601" s="1">
        <v>0.62930261574074076</v>
      </c>
      <c r="B601" t="s">
        <v>1</v>
      </c>
      <c r="C601">
        <v>600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5">
      <c r="A602" s="1">
        <v>0.62930273148148153</v>
      </c>
      <c r="B602" t="s">
        <v>2</v>
      </c>
      <c r="C602">
        <v>601</v>
      </c>
      <c r="D602">
        <v>0</v>
      </c>
      <c r="E602">
        <v>1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5">
      <c r="A603" s="1">
        <v>0.62930284722222218</v>
      </c>
      <c r="B603" t="s">
        <v>2</v>
      </c>
      <c r="C603">
        <v>602</v>
      </c>
      <c r="D603">
        <v>0</v>
      </c>
      <c r="E603">
        <v>1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5">
      <c r="A604" s="1">
        <v>0.62930296296296295</v>
      </c>
      <c r="B604" t="s">
        <v>2</v>
      </c>
      <c r="C604">
        <v>603</v>
      </c>
      <c r="D604">
        <v>0</v>
      </c>
      <c r="E604">
        <v>1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5">
      <c r="A605" s="1">
        <v>0.62930307870370372</v>
      </c>
      <c r="B605" t="s">
        <v>1</v>
      </c>
      <c r="C605">
        <v>604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</row>
    <row r="606" spans="1:19" x14ac:dyDescent="0.25">
      <c r="A606" s="1">
        <v>0.62930319444444449</v>
      </c>
      <c r="B606" t="s">
        <v>1</v>
      </c>
      <c r="C606">
        <v>605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5">
      <c r="A607" s="1">
        <v>0.62930331018518515</v>
      </c>
      <c r="B607" t="s">
        <v>1</v>
      </c>
      <c r="C607">
        <v>606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5">
      <c r="A608" s="1">
        <v>0.62930342592592592</v>
      </c>
      <c r="B608" t="s">
        <v>1</v>
      </c>
      <c r="C608">
        <v>607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5">
      <c r="A609" s="1">
        <v>0.62930354166666669</v>
      </c>
      <c r="B609" t="s">
        <v>1</v>
      </c>
      <c r="C609">
        <v>608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5">
      <c r="A610" s="1">
        <v>0.62930365740740746</v>
      </c>
      <c r="B610" t="s">
        <v>1</v>
      </c>
      <c r="C610">
        <v>609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5">
      <c r="A611" s="1">
        <v>0.62930377314814812</v>
      </c>
      <c r="B611" t="s">
        <v>1</v>
      </c>
      <c r="C611">
        <v>610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5">
      <c r="A612" s="1">
        <v>0.62930388888888888</v>
      </c>
      <c r="B612" t="s">
        <v>1</v>
      </c>
      <c r="C612">
        <v>611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5">
      <c r="A613" s="1">
        <v>0.62930400462962965</v>
      </c>
      <c r="B613" t="s">
        <v>1</v>
      </c>
      <c r="C613">
        <v>612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5">
      <c r="A614" s="1">
        <v>0.62930412037037042</v>
      </c>
      <c r="B614" t="s">
        <v>1</v>
      </c>
      <c r="C614">
        <v>613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5">
      <c r="A615" s="1">
        <v>0.62930423611111108</v>
      </c>
      <c r="B615" t="s">
        <v>1</v>
      </c>
      <c r="C615">
        <v>614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5">
      <c r="A616" s="1">
        <v>0.62930435185185185</v>
      </c>
      <c r="B616" t="s">
        <v>1</v>
      </c>
      <c r="C616">
        <v>615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5">
      <c r="A617" s="1">
        <v>0.62930446759259262</v>
      </c>
      <c r="B617" t="s">
        <v>1</v>
      </c>
      <c r="C617">
        <v>616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5">
      <c r="A618" s="1">
        <v>0.62930458333333328</v>
      </c>
      <c r="B618" t="s">
        <v>1</v>
      </c>
      <c r="C618">
        <v>617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 x14ac:dyDescent="0.25">
      <c r="A619" s="1">
        <v>0.62930469907407405</v>
      </c>
      <c r="B619" t="s">
        <v>1</v>
      </c>
      <c r="C619">
        <v>618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5">
      <c r="A620" s="1">
        <v>0.62930481481481482</v>
      </c>
      <c r="B620" t="s">
        <v>1</v>
      </c>
      <c r="C620">
        <v>619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5">
      <c r="A621" s="1">
        <v>0.62930491898148144</v>
      </c>
      <c r="B621" t="s">
        <v>1</v>
      </c>
      <c r="C621">
        <v>620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5">
      <c r="A622" s="1">
        <v>0.62930504629629624</v>
      </c>
      <c r="B622" t="s">
        <v>2</v>
      </c>
      <c r="C622">
        <v>621</v>
      </c>
      <c r="D622">
        <v>0</v>
      </c>
      <c r="E622">
        <v>1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5">
      <c r="A623" s="1">
        <v>0.62930516203703701</v>
      </c>
      <c r="B623" t="s">
        <v>2</v>
      </c>
      <c r="C623">
        <v>622</v>
      </c>
      <c r="D623">
        <v>0</v>
      </c>
      <c r="E623">
        <v>1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5">
      <c r="A624" s="1">
        <v>0.62930527777777778</v>
      </c>
      <c r="B624" t="s">
        <v>2</v>
      </c>
      <c r="C624">
        <v>623</v>
      </c>
      <c r="D624">
        <v>0</v>
      </c>
      <c r="E624">
        <v>1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</row>
    <row r="625" spans="1:19" x14ac:dyDescent="0.25">
      <c r="A625" s="1">
        <v>0.62930538194444441</v>
      </c>
      <c r="B625" t="s">
        <v>1</v>
      </c>
      <c r="C625">
        <v>624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5">
      <c r="A626" s="1">
        <v>0.62930549768518518</v>
      </c>
      <c r="B626" t="s">
        <v>1</v>
      </c>
      <c r="C626">
        <v>625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5">
      <c r="A627" s="1">
        <v>0.62930561342592595</v>
      </c>
      <c r="B627" t="s">
        <v>1</v>
      </c>
      <c r="C627">
        <v>626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5">
      <c r="A628" s="1">
        <v>0.62930572916666672</v>
      </c>
      <c r="B628" t="s">
        <v>1</v>
      </c>
      <c r="C628">
        <v>627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1:19" x14ac:dyDescent="0.25">
      <c r="A629" s="1">
        <v>0.62930585648148152</v>
      </c>
      <c r="B629" t="s">
        <v>1</v>
      </c>
      <c r="C629">
        <v>628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5">
      <c r="A630" s="1">
        <v>0.62930596064814814</v>
      </c>
      <c r="B630" t="s">
        <v>1</v>
      </c>
      <c r="C630">
        <v>629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5">
      <c r="A631" s="1">
        <v>0.62930608796296295</v>
      </c>
      <c r="B631" t="s">
        <v>1</v>
      </c>
      <c r="C631">
        <v>630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5">
      <c r="A632" s="1">
        <v>0.62930619212962968</v>
      </c>
      <c r="B632" t="s">
        <v>1</v>
      </c>
      <c r="C632">
        <v>631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5">
      <c r="A633" s="1">
        <v>0.62930630787037034</v>
      </c>
      <c r="B633" t="s">
        <v>1</v>
      </c>
      <c r="C633">
        <v>632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5">
      <c r="A634" s="1">
        <v>0.62930642361111111</v>
      </c>
      <c r="B634" t="s">
        <v>1</v>
      </c>
      <c r="C634">
        <v>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5">
      <c r="A635" s="1">
        <v>0.62930653935185188</v>
      </c>
      <c r="B635" t="s">
        <v>1</v>
      </c>
      <c r="C635">
        <v>634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5">
      <c r="A636" s="1">
        <v>0.62930665509259254</v>
      </c>
      <c r="B636" t="s">
        <v>1</v>
      </c>
      <c r="C636">
        <v>635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5">
      <c r="A637" s="1">
        <v>0.62930677083333331</v>
      </c>
      <c r="B637" t="s">
        <v>1</v>
      </c>
      <c r="C637">
        <v>636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5">
      <c r="A638" s="1">
        <v>0.62930688657407408</v>
      </c>
      <c r="B638" t="s">
        <v>1</v>
      </c>
      <c r="C638">
        <v>637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5">
      <c r="A639" s="1">
        <v>0.62930700231481485</v>
      </c>
      <c r="B639" t="s">
        <v>1</v>
      </c>
      <c r="C639">
        <v>638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5">
      <c r="A640" s="1">
        <v>0.6293071180555555</v>
      </c>
      <c r="B640" t="s">
        <v>1</v>
      </c>
      <c r="C640">
        <v>639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5">
      <c r="A641" s="1">
        <v>0.62930723379629627</v>
      </c>
      <c r="B641" t="s">
        <v>1</v>
      </c>
      <c r="C641">
        <v>640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5">
      <c r="A642" s="1">
        <v>0.62930734953703704</v>
      </c>
      <c r="B642" t="s">
        <v>2</v>
      </c>
      <c r="C642">
        <v>641</v>
      </c>
      <c r="D642">
        <v>0</v>
      </c>
      <c r="E642">
        <v>1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5">
      <c r="A643" s="1">
        <v>0.62930746527777781</v>
      </c>
      <c r="B643" t="s">
        <v>2</v>
      </c>
      <c r="C643">
        <v>642</v>
      </c>
      <c r="D643">
        <v>0</v>
      </c>
      <c r="E643">
        <v>1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5">
      <c r="A644" s="1">
        <v>0.62930758101851847</v>
      </c>
      <c r="B644" t="s">
        <v>2</v>
      </c>
      <c r="C644">
        <v>643</v>
      </c>
      <c r="D644">
        <v>0</v>
      </c>
      <c r="E644">
        <v>1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5">
      <c r="A645" s="1">
        <v>0.62930769675925924</v>
      </c>
      <c r="B645" t="s">
        <v>1</v>
      </c>
      <c r="C645">
        <v>644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5">
      <c r="A646" s="1">
        <v>0.62930781250000001</v>
      </c>
      <c r="B646" t="s">
        <v>1</v>
      </c>
      <c r="C646">
        <v>645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5">
      <c r="A647" s="1">
        <v>0.62930792824074078</v>
      </c>
      <c r="B647" t="s">
        <v>1</v>
      </c>
      <c r="C647">
        <v>646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5">
      <c r="A648" s="1">
        <v>0.62930804398148144</v>
      </c>
      <c r="B648" t="s">
        <v>1</v>
      </c>
      <c r="C648">
        <v>647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5">
      <c r="A649" s="1">
        <v>0.6293081597222222</v>
      </c>
      <c r="B649" t="s">
        <v>1</v>
      </c>
      <c r="C649">
        <v>648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5">
      <c r="A650" s="1">
        <v>0.62930827546296297</v>
      </c>
      <c r="B650" t="s">
        <v>1</v>
      </c>
      <c r="C650">
        <v>649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5">
      <c r="A651" s="1">
        <v>0.62930839120370374</v>
      </c>
      <c r="B651" t="s">
        <v>1</v>
      </c>
      <c r="C651">
        <v>650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</row>
    <row r="652" spans="1:19" x14ac:dyDescent="0.25">
      <c r="A652" s="1">
        <v>0.6293085069444444</v>
      </c>
      <c r="B652" t="s">
        <v>1</v>
      </c>
      <c r="C652">
        <v>651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5">
      <c r="A653" s="1">
        <v>0.62930862268518517</v>
      </c>
      <c r="B653" t="s">
        <v>1</v>
      </c>
      <c r="C653">
        <v>652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5">
      <c r="A654" s="1">
        <v>0.62930873842592594</v>
      </c>
      <c r="B654" t="s">
        <v>1</v>
      </c>
      <c r="C654">
        <v>653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</row>
    <row r="655" spans="1:19" x14ac:dyDescent="0.25">
      <c r="A655" s="1">
        <v>0.62930885416666671</v>
      </c>
      <c r="B655" t="s">
        <v>1</v>
      </c>
      <c r="C655">
        <v>654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5">
      <c r="A656" s="1">
        <v>0.62930896990740737</v>
      </c>
      <c r="B656" t="s">
        <v>1</v>
      </c>
      <c r="C656">
        <v>655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5">
      <c r="A657" s="1">
        <v>0.62930908564814814</v>
      </c>
      <c r="B657" t="s">
        <v>1</v>
      </c>
      <c r="C657">
        <v>656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5">
      <c r="A658" s="1">
        <v>0.62930920138888891</v>
      </c>
      <c r="B658" t="s">
        <v>1</v>
      </c>
      <c r="C658">
        <v>657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</row>
    <row r="659" spans="1:19" x14ac:dyDescent="0.25">
      <c r="A659" s="1">
        <v>0.62930931712962968</v>
      </c>
      <c r="B659" t="s">
        <v>1</v>
      </c>
      <c r="C659">
        <v>658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5">
      <c r="A660" s="1">
        <v>0.62930943287037033</v>
      </c>
      <c r="B660" t="s">
        <v>1</v>
      </c>
      <c r="C660">
        <v>659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1">
        <v>0.6293095486111111</v>
      </c>
      <c r="B661" t="s">
        <v>1</v>
      </c>
      <c r="C661">
        <v>660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5">
      <c r="A662" s="1">
        <v>0.62930966435185187</v>
      </c>
      <c r="B662" t="s">
        <v>2</v>
      </c>
      <c r="C662">
        <v>661</v>
      </c>
      <c r="D662">
        <v>0</v>
      </c>
      <c r="E662">
        <v>1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5">
      <c r="A663" s="1">
        <v>0.62930978009259264</v>
      </c>
      <c r="B663" t="s">
        <v>2</v>
      </c>
      <c r="C663">
        <v>662</v>
      </c>
      <c r="D663">
        <v>0</v>
      </c>
      <c r="E663">
        <v>1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5">
      <c r="A664" s="1">
        <v>0.6293098958333333</v>
      </c>
      <c r="B664" t="s">
        <v>2</v>
      </c>
      <c r="C664">
        <v>663</v>
      </c>
      <c r="D664">
        <v>0</v>
      </c>
      <c r="E664">
        <v>1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5">
      <c r="A665" s="1">
        <v>0.62931001157407407</v>
      </c>
      <c r="B665" t="s">
        <v>1</v>
      </c>
      <c r="C665">
        <v>664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5">
      <c r="A666" s="1">
        <v>0.62931012731481484</v>
      </c>
      <c r="B666" t="s">
        <v>1</v>
      </c>
      <c r="C666">
        <v>665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5">
      <c r="A667" s="1">
        <v>0.62931024305555561</v>
      </c>
      <c r="B667" t="s">
        <v>1</v>
      </c>
      <c r="C667">
        <v>666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5">
      <c r="A668" s="1">
        <v>0.62931035879629627</v>
      </c>
      <c r="B668" t="s">
        <v>1</v>
      </c>
      <c r="C668">
        <v>667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5">
      <c r="A669" s="1">
        <v>0.62931047453703703</v>
      </c>
      <c r="B669" t="s">
        <v>1</v>
      </c>
      <c r="C669">
        <v>668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5">
      <c r="A670" s="1">
        <v>0.6293105902777778</v>
      </c>
      <c r="B670" t="s">
        <v>1</v>
      </c>
      <c r="C670">
        <v>669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5">
      <c r="A671" s="1">
        <v>0.62931070601851857</v>
      </c>
      <c r="B671" t="s">
        <v>1</v>
      </c>
      <c r="C671">
        <v>670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5">
      <c r="A672" s="1">
        <v>0.62931082175925923</v>
      </c>
      <c r="B672" t="s">
        <v>1</v>
      </c>
      <c r="C672">
        <v>671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1">
        <v>0.6293109375</v>
      </c>
      <c r="B673" t="s">
        <v>1</v>
      </c>
      <c r="C673">
        <v>672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5">
      <c r="A674" s="1">
        <v>0.62931105324074077</v>
      </c>
      <c r="B674" t="s">
        <v>1</v>
      </c>
      <c r="C674">
        <v>673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5">
      <c r="A675" s="1">
        <v>0.62931116898148143</v>
      </c>
      <c r="B675" t="s">
        <v>1</v>
      </c>
      <c r="C675">
        <v>674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5">
      <c r="A676" s="1">
        <v>0.6293112847222222</v>
      </c>
      <c r="B676" t="s">
        <v>1</v>
      </c>
      <c r="C676">
        <v>675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5">
      <c r="A677" s="1">
        <v>0.62931140046296297</v>
      </c>
      <c r="B677" t="s">
        <v>1</v>
      </c>
      <c r="C677">
        <v>676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5">
      <c r="A678" s="1">
        <v>0.62931151620370374</v>
      </c>
      <c r="B678" t="s">
        <v>1</v>
      </c>
      <c r="C678">
        <v>677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5">
      <c r="A679" s="1">
        <v>0.62931163194444439</v>
      </c>
      <c r="B679" t="s">
        <v>1</v>
      </c>
      <c r="C679">
        <v>678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5">
      <c r="A680" s="1">
        <v>0.62931174768518516</v>
      </c>
      <c r="B680" t="s">
        <v>1</v>
      </c>
      <c r="C680">
        <v>679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5">
      <c r="A681" s="1">
        <v>0.6293118518518519</v>
      </c>
      <c r="B681" t="s">
        <v>1</v>
      </c>
      <c r="C681">
        <v>680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5">
      <c r="A682" s="1">
        <v>0.6293119791666667</v>
      </c>
      <c r="B682" t="s">
        <v>2</v>
      </c>
      <c r="C682">
        <v>681</v>
      </c>
      <c r="D682">
        <v>0</v>
      </c>
      <c r="E682">
        <v>1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5">
      <c r="A683" s="1">
        <v>0.62931208333333333</v>
      </c>
      <c r="B683" t="s">
        <v>2</v>
      </c>
      <c r="C683">
        <v>682</v>
      </c>
      <c r="D683">
        <v>0</v>
      </c>
      <c r="E683">
        <v>1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5">
      <c r="A684" s="1">
        <v>0.6293121990740741</v>
      </c>
      <c r="B684" t="s">
        <v>2</v>
      </c>
      <c r="C684">
        <v>683</v>
      </c>
      <c r="D684">
        <v>0</v>
      </c>
      <c r="E684">
        <v>1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5">
      <c r="A685" s="1">
        <v>0.62931231481481487</v>
      </c>
      <c r="B685" t="s">
        <v>1</v>
      </c>
      <c r="C685">
        <v>684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5">
      <c r="A686" s="1">
        <v>0.62931243055555552</v>
      </c>
      <c r="B686" t="s">
        <v>1</v>
      </c>
      <c r="C686">
        <v>685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5">
      <c r="A687" s="1">
        <v>0.62931254629629629</v>
      </c>
      <c r="B687" t="s">
        <v>1</v>
      </c>
      <c r="C687">
        <v>686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5">
      <c r="A688" s="1">
        <v>0.62931266203703706</v>
      </c>
      <c r="B688" t="s">
        <v>1</v>
      </c>
      <c r="C688">
        <v>687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5">
      <c r="A689" s="1">
        <v>0.62931277777777783</v>
      </c>
      <c r="B689" t="s">
        <v>1</v>
      </c>
      <c r="C689">
        <v>688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</row>
    <row r="690" spans="1:19" x14ac:dyDescent="0.25">
      <c r="A690" s="1">
        <v>0.62931290509259263</v>
      </c>
      <c r="B690" t="s">
        <v>1</v>
      </c>
      <c r="C690">
        <v>689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</row>
    <row r="691" spans="1:19" x14ac:dyDescent="0.25">
      <c r="A691" s="1">
        <v>0.62931300925925926</v>
      </c>
      <c r="B691" t="s">
        <v>1</v>
      </c>
      <c r="C691">
        <v>690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5">
      <c r="A692" s="1">
        <v>0.62931312500000003</v>
      </c>
      <c r="B692" t="s">
        <v>1</v>
      </c>
      <c r="C692">
        <v>691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5">
      <c r="A693" s="1">
        <v>0.62931324074074069</v>
      </c>
      <c r="B693" t="s">
        <v>1</v>
      </c>
      <c r="C693">
        <v>692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5">
      <c r="A694" s="1">
        <v>0.6293133680555556</v>
      </c>
      <c r="B694" t="s">
        <v>1</v>
      </c>
      <c r="C694">
        <v>693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5">
      <c r="A695" s="1">
        <v>0.62931347222222223</v>
      </c>
      <c r="B695" t="s">
        <v>1</v>
      </c>
      <c r="C695">
        <v>694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5">
      <c r="A696" s="1">
        <v>0.62931358796296299</v>
      </c>
      <c r="B696" t="s">
        <v>1</v>
      </c>
      <c r="C696">
        <v>695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5">
      <c r="A697" s="1">
        <v>0.62931370370370365</v>
      </c>
      <c r="B697" t="s">
        <v>1</v>
      </c>
      <c r="C697">
        <v>696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5">
      <c r="A698" s="1">
        <v>0.62931393518518519</v>
      </c>
      <c r="B698" t="s">
        <v>1</v>
      </c>
      <c r="C698">
        <v>697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5">
      <c r="A699" s="1">
        <v>0.62931405092592596</v>
      </c>
      <c r="B699" t="s">
        <v>1</v>
      </c>
      <c r="C699">
        <v>698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</row>
    <row r="700" spans="1:19" x14ac:dyDescent="0.25">
      <c r="A700" s="1">
        <v>0.62931416666666662</v>
      </c>
      <c r="B700" t="s">
        <v>1</v>
      </c>
      <c r="C700">
        <v>699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</row>
    <row r="701" spans="1:19" x14ac:dyDescent="0.25">
      <c r="A701" s="1">
        <v>0.62931428240740739</v>
      </c>
      <c r="B701" t="s">
        <v>2</v>
      </c>
      <c r="C701">
        <v>700</v>
      </c>
      <c r="D701">
        <v>0</v>
      </c>
      <c r="E701">
        <v>1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5">
      <c r="A702" s="1">
        <v>0.62931439814814816</v>
      </c>
      <c r="B702" t="s">
        <v>2</v>
      </c>
      <c r="C702">
        <v>701</v>
      </c>
      <c r="D702">
        <v>0</v>
      </c>
      <c r="E702">
        <v>1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5">
      <c r="A703" s="1">
        <v>0.62931451388888893</v>
      </c>
      <c r="B703" t="s">
        <v>2</v>
      </c>
      <c r="C703">
        <v>702</v>
      </c>
      <c r="D703">
        <v>0</v>
      </c>
      <c r="E703">
        <v>1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5">
      <c r="A704" s="1">
        <v>0.62931462962962958</v>
      </c>
      <c r="B704" t="s">
        <v>1</v>
      </c>
      <c r="C704">
        <v>703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5">
      <c r="A705" s="1">
        <v>0.62931474537037035</v>
      </c>
      <c r="B705" t="s">
        <v>1</v>
      </c>
      <c r="C705">
        <v>704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5">
      <c r="A706" s="1">
        <v>0.62931486111111112</v>
      </c>
      <c r="B706" t="s">
        <v>1</v>
      </c>
      <c r="C706">
        <v>705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5">
      <c r="A707" s="1">
        <v>0.62931497685185189</v>
      </c>
      <c r="B707" t="s">
        <v>1</v>
      </c>
      <c r="C707">
        <v>706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5">
      <c r="A708" s="1">
        <v>0.62931509259259255</v>
      </c>
      <c r="B708" t="s">
        <v>1</v>
      </c>
      <c r="C708">
        <v>707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 x14ac:dyDescent="0.25">
      <c r="A709" s="1">
        <v>0.62931520833333332</v>
      </c>
      <c r="B709" t="s">
        <v>1</v>
      </c>
      <c r="C709">
        <v>708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5">
      <c r="A710" s="1">
        <v>0.62931532407407409</v>
      </c>
      <c r="B710" t="s">
        <v>1</v>
      </c>
      <c r="C710">
        <v>709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5">
      <c r="A711" s="1">
        <v>0.62931543981481486</v>
      </c>
      <c r="B711" t="s">
        <v>1</v>
      </c>
      <c r="C711">
        <v>710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1">
        <v>0.62931555555555552</v>
      </c>
      <c r="B712" t="s">
        <v>1</v>
      </c>
      <c r="C712">
        <v>711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5">
      <c r="A713" s="1">
        <v>0.62931567129629629</v>
      </c>
      <c r="B713" t="s">
        <v>1</v>
      </c>
      <c r="C713">
        <v>712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5">
      <c r="A714" s="1">
        <v>0.62931578703703706</v>
      </c>
      <c r="B714" t="s">
        <v>1</v>
      </c>
      <c r="C714">
        <v>713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5">
      <c r="A715" s="1">
        <v>0.62931590277777782</v>
      </c>
      <c r="B715" t="s">
        <v>1</v>
      </c>
      <c r="C715">
        <v>714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5">
      <c r="A716" s="1">
        <v>0.62931601851851848</v>
      </c>
      <c r="B716" t="s">
        <v>1</v>
      </c>
      <c r="C716">
        <v>715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5">
      <c r="A717" s="1">
        <v>0.62931613425925925</v>
      </c>
      <c r="B717" t="s">
        <v>1</v>
      </c>
      <c r="C717">
        <v>716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5">
      <c r="A718" s="1">
        <v>0.62931625000000002</v>
      </c>
      <c r="B718" t="s">
        <v>1</v>
      </c>
      <c r="C718">
        <v>717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5">
      <c r="A719" s="1">
        <v>0.62931636574074079</v>
      </c>
      <c r="B719" t="s">
        <v>1</v>
      </c>
      <c r="C719">
        <v>718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5">
      <c r="A720" s="1">
        <v>0.62931648148148145</v>
      </c>
      <c r="B720" t="s">
        <v>1</v>
      </c>
      <c r="C720">
        <v>719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5">
      <c r="A721" s="1">
        <v>0.62931659722222222</v>
      </c>
      <c r="B721" t="s">
        <v>2</v>
      </c>
      <c r="C721">
        <v>720</v>
      </c>
      <c r="D721">
        <v>0</v>
      </c>
      <c r="E721">
        <v>1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5">
      <c r="A722" s="1">
        <v>0.62931671296296299</v>
      </c>
      <c r="B722" t="s">
        <v>2</v>
      </c>
      <c r="C722">
        <v>721</v>
      </c>
      <c r="D722">
        <v>0</v>
      </c>
      <c r="E722">
        <v>1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5">
      <c r="A723" s="1">
        <v>0.62931682870370376</v>
      </c>
      <c r="B723" t="s">
        <v>2</v>
      </c>
      <c r="C723">
        <v>722</v>
      </c>
      <c r="D723">
        <v>0</v>
      </c>
      <c r="E723">
        <v>1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5">
      <c r="A724" s="1">
        <v>0.62931694444444441</v>
      </c>
      <c r="B724" t="s">
        <v>1</v>
      </c>
      <c r="C724">
        <v>723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1">
        <v>0.62931706018518518</v>
      </c>
      <c r="B725" t="s">
        <v>1</v>
      </c>
      <c r="C725">
        <v>724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5">
      <c r="A726" s="1">
        <v>0.62931717592592595</v>
      </c>
      <c r="B726" t="s">
        <v>1</v>
      </c>
      <c r="C726">
        <v>725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5">
      <c r="A727" s="1">
        <v>0.62931729166666661</v>
      </c>
      <c r="B727" t="s">
        <v>1</v>
      </c>
      <c r="C727">
        <v>726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5">
      <c r="A728" s="1">
        <v>0.62931740740740738</v>
      </c>
      <c r="B728" t="s">
        <v>1</v>
      </c>
      <c r="C728">
        <v>727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5">
      <c r="A729" s="1">
        <v>0.62931752314814815</v>
      </c>
      <c r="B729" t="s">
        <v>1</v>
      </c>
      <c r="C729">
        <v>728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5">
      <c r="A730" s="1">
        <v>0.62931763888888892</v>
      </c>
      <c r="B730" t="s">
        <v>1</v>
      </c>
      <c r="C730">
        <v>729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5">
      <c r="A731" s="1">
        <v>0.62931775462962958</v>
      </c>
      <c r="B731" t="s">
        <v>1</v>
      </c>
      <c r="C731">
        <v>730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5">
      <c r="A732" s="1">
        <v>0.62931787037037035</v>
      </c>
      <c r="B732" t="s">
        <v>1</v>
      </c>
      <c r="C732">
        <v>731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5">
      <c r="A733" s="1">
        <v>0.62931798611111112</v>
      </c>
      <c r="B733" t="s">
        <v>1</v>
      </c>
      <c r="C733">
        <v>732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5">
      <c r="A734" s="1">
        <v>0.62931810185185189</v>
      </c>
      <c r="B734" t="s">
        <v>1</v>
      </c>
      <c r="C734">
        <v>733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5">
      <c r="A735" s="1">
        <v>0.62931821759259254</v>
      </c>
      <c r="B735" t="s">
        <v>1</v>
      </c>
      <c r="C735">
        <v>734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5">
      <c r="A736" s="1">
        <v>0.62931833333333331</v>
      </c>
      <c r="B736" t="s">
        <v>1</v>
      </c>
      <c r="C736">
        <v>735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5">
      <c r="A737" s="1">
        <v>0.62931844907407408</v>
      </c>
      <c r="B737" t="s">
        <v>1</v>
      </c>
      <c r="C737">
        <v>736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5">
      <c r="A738" s="1">
        <v>0.62931856481481485</v>
      </c>
      <c r="B738" t="s">
        <v>1</v>
      </c>
      <c r="C738">
        <v>737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5">
      <c r="A739" s="1">
        <v>0.62931868055555551</v>
      </c>
      <c r="B739" t="s">
        <v>1</v>
      </c>
      <c r="C739">
        <v>738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5">
      <c r="A740" s="1">
        <v>0.62931879629629628</v>
      </c>
      <c r="B740" t="s">
        <v>1</v>
      </c>
      <c r="C740">
        <v>739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5">
      <c r="A741" s="1">
        <v>0.62931891203703705</v>
      </c>
      <c r="B741" t="s">
        <v>2</v>
      </c>
      <c r="C741">
        <v>740</v>
      </c>
      <c r="D741">
        <v>0</v>
      </c>
      <c r="E741">
        <v>1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5">
      <c r="A742" s="1">
        <v>0.62931901620370367</v>
      </c>
      <c r="B742" t="s">
        <v>2</v>
      </c>
      <c r="C742">
        <v>741</v>
      </c>
      <c r="D742">
        <v>0</v>
      </c>
      <c r="E742">
        <v>1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5">
      <c r="A743" s="1">
        <v>0.62931914351851848</v>
      </c>
      <c r="B743" t="s">
        <v>2</v>
      </c>
      <c r="C743">
        <v>742</v>
      </c>
      <c r="D743">
        <v>0</v>
      </c>
      <c r="E743">
        <v>1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5">
      <c r="A744" s="1">
        <v>0.62931925925925924</v>
      </c>
      <c r="B744" t="s">
        <v>1</v>
      </c>
      <c r="C744">
        <v>743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 x14ac:dyDescent="0.25">
      <c r="A745" s="1">
        <v>0.62931937500000001</v>
      </c>
      <c r="B745" t="s">
        <v>1</v>
      </c>
      <c r="C745">
        <v>744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5">
      <c r="A746" s="1">
        <v>0.62931949074074078</v>
      </c>
      <c r="B746" t="s">
        <v>1</v>
      </c>
      <c r="C746">
        <v>745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5">
      <c r="A747" s="1">
        <v>0.62931960648148144</v>
      </c>
      <c r="B747" t="s">
        <v>1</v>
      </c>
      <c r="C747">
        <v>746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5">
      <c r="A748" s="1">
        <v>0.62931971064814818</v>
      </c>
      <c r="B748" t="s">
        <v>1</v>
      </c>
      <c r="C748">
        <v>747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5">
      <c r="A749" s="1">
        <v>0.62931982638888884</v>
      </c>
      <c r="B749" t="s">
        <v>1</v>
      </c>
      <c r="C749">
        <v>748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5">
      <c r="A750" s="1">
        <v>0.62931994212962961</v>
      </c>
      <c r="B750" t="s">
        <v>1</v>
      </c>
      <c r="C750">
        <v>749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5">
      <c r="A751" s="1">
        <v>0.62932005787037038</v>
      </c>
      <c r="B751" t="s">
        <v>1</v>
      </c>
      <c r="C751">
        <v>750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5">
      <c r="A752" s="1">
        <v>0.62932018518518518</v>
      </c>
      <c r="B752" t="s">
        <v>1</v>
      </c>
      <c r="C752">
        <v>751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5">
      <c r="A753" s="1">
        <v>0.62932030092592595</v>
      </c>
      <c r="B753" t="s">
        <v>1</v>
      </c>
      <c r="C753">
        <v>752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5">
      <c r="A754" s="1">
        <v>0.62932040509259257</v>
      </c>
      <c r="B754" t="s">
        <v>1</v>
      </c>
      <c r="C754">
        <v>753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5">
      <c r="A755" s="1">
        <v>0.62932052083333334</v>
      </c>
      <c r="B755" t="s">
        <v>1</v>
      </c>
      <c r="C755">
        <v>754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5">
      <c r="A756" s="1">
        <v>0.62932063657407411</v>
      </c>
      <c r="B756" t="s">
        <v>1</v>
      </c>
      <c r="C756">
        <v>755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5">
      <c r="A757" s="1">
        <v>0.62932075231481477</v>
      </c>
      <c r="B757" t="s">
        <v>1</v>
      </c>
      <c r="C757">
        <v>756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5">
      <c r="A758" s="1">
        <v>0.62932086805555554</v>
      </c>
      <c r="B758" t="s">
        <v>1</v>
      </c>
      <c r="C758">
        <v>757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5">
      <c r="A759" s="1">
        <v>0.62932098379629631</v>
      </c>
      <c r="B759" t="s">
        <v>1</v>
      </c>
      <c r="C759">
        <v>758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5">
      <c r="A760" s="1">
        <v>0.62932109953703708</v>
      </c>
      <c r="B760" t="s">
        <v>1</v>
      </c>
      <c r="C760">
        <v>759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5">
      <c r="A761" s="1">
        <v>0.62932121527777773</v>
      </c>
      <c r="B761" t="s">
        <v>2</v>
      </c>
      <c r="C761">
        <v>760</v>
      </c>
      <c r="D761">
        <v>0</v>
      </c>
      <c r="E761">
        <v>1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5">
      <c r="A762" s="1">
        <v>0.6293213310185185</v>
      </c>
      <c r="B762" t="s">
        <v>2</v>
      </c>
      <c r="C762">
        <v>761</v>
      </c>
      <c r="D762">
        <v>0</v>
      </c>
      <c r="E762">
        <v>1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5">
      <c r="A763" s="1">
        <v>0.62932144675925927</v>
      </c>
      <c r="B763" t="s">
        <v>2</v>
      </c>
      <c r="C763">
        <v>762</v>
      </c>
      <c r="D763">
        <v>0</v>
      </c>
      <c r="E763">
        <v>1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5">
      <c r="A764" s="1">
        <v>0.62932156250000004</v>
      </c>
      <c r="B764" t="s">
        <v>1</v>
      </c>
      <c r="C764">
        <v>763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5">
      <c r="A765" s="1">
        <v>0.6293216782407407</v>
      </c>
      <c r="B765" t="s">
        <v>1</v>
      </c>
      <c r="C765">
        <v>764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5">
      <c r="A766" s="1">
        <v>0.62932179398148147</v>
      </c>
      <c r="B766" t="s">
        <v>1</v>
      </c>
      <c r="C766">
        <v>765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5">
      <c r="A767" s="1">
        <v>0.62932190972222224</v>
      </c>
      <c r="B767" t="s">
        <v>1</v>
      </c>
      <c r="C767">
        <v>766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5">
      <c r="A768" s="1">
        <v>0.62932202546296301</v>
      </c>
      <c r="B768" t="s">
        <v>1</v>
      </c>
      <c r="C768">
        <v>767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5">
      <c r="A769" s="1">
        <v>0.62932214120370367</v>
      </c>
      <c r="B769" t="s">
        <v>1</v>
      </c>
      <c r="C769">
        <v>768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5">
      <c r="A770" s="1">
        <v>0.62932225694444444</v>
      </c>
      <c r="B770" t="s">
        <v>1</v>
      </c>
      <c r="C770">
        <v>769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5">
      <c r="A771" s="1">
        <v>0.62932237268518521</v>
      </c>
      <c r="B771" t="s">
        <v>1</v>
      </c>
      <c r="C771">
        <v>770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5">
      <c r="A772" s="1">
        <v>0.62932248842592597</v>
      </c>
      <c r="B772" t="s">
        <v>1</v>
      </c>
      <c r="C772">
        <v>771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5">
      <c r="A773" s="1">
        <v>0.62932260416666663</v>
      </c>
      <c r="B773" t="s">
        <v>1</v>
      </c>
      <c r="C773">
        <v>772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5">
      <c r="A774" s="1">
        <v>0.6293227199074074</v>
      </c>
      <c r="B774" t="s">
        <v>1</v>
      </c>
      <c r="C774">
        <v>773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5">
      <c r="A775" s="1">
        <v>0.62932283564814817</v>
      </c>
      <c r="B775" t="s">
        <v>1</v>
      </c>
      <c r="C775">
        <v>774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5">
      <c r="A776" s="1">
        <v>0.62932295138888894</v>
      </c>
      <c r="B776" t="s">
        <v>1</v>
      </c>
      <c r="C776">
        <v>775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5">
      <c r="A777" s="1">
        <v>0.6293230671296296</v>
      </c>
      <c r="B777" t="s">
        <v>1</v>
      </c>
      <c r="C777">
        <v>776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5">
      <c r="A778" s="1">
        <v>0.62932318287037037</v>
      </c>
      <c r="B778" t="s">
        <v>1</v>
      </c>
      <c r="C778">
        <v>777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5">
      <c r="A779" s="1">
        <v>0.62932329861111114</v>
      </c>
      <c r="B779" t="s">
        <v>1</v>
      </c>
      <c r="C779">
        <v>778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5">
      <c r="A780" s="1">
        <v>0.62932341435185191</v>
      </c>
      <c r="B780" t="s">
        <v>1</v>
      </c>
      <c r="C780">
        <v>779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5">
      <c r="A781" s="1">
        <v>0.62932353009259256</v>
      </c>
      <c r="B781" t="s">
        <v>2</v>
      </c>
      <c r="C781">
        <v>780</v>
      </c>
      <c r="D781">
        <v>0</v>
      </c>
      <c r="E781">
        <v>1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5">
      <c r="A782" s="1">
        <v>0.62932364583333333</v>
      </c>
      <c r="B782" t="s">
        <v>2</v>
      </c>
      <c r="C782">
        <v>781</v>
      </c>
      <c r="D782">
        <v>0</v>
      </c>
      <c r="E782">
        <v>1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5">
      <c r="A783" s="1">
        <v>0.6293237615740741</v>
      </c>
      <c r="B783" t="s">
        <v>2</v>
      </c>
      <c r="C783">
        <v>782</v>
      </c>
      <c r="D783">
        <v>0</v>
      </c>
      <c r="E783">
        <v>1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5">
      <c r="A784" s="1">
        <v>0.62932387731481476</v>
      </c>
      <c r="B784" t="s">
        <v>1</v>
      </c>
      <c r="C784">
        <v>783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5">
      <c r="A785" s="1">
        <v>0.62932399305555553</v>
      </c>
      <c r="B785" t="s">
        <v>1</v>
      </c>
      <c r="C785">
        <v>784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5">
      <c r="A786" s="1">
        <v>0.62932409722222227</v>
      </c>
      <c r="B786" t="s">
        <v>1</v>
      </c>
      <c r="C786">
        <v>785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 x14ac:dyDescent="0.25">
      <c r="A787" s="1">
        <v>0.62932422453703707</v>
      </c>
      <c r="B787" t="s">
        <v>1</v>
      </c>
      <c r="C787">
        <v>786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5">
      <c r="A788" s="1">
        <v>0.62932432870370369</v>
      </c>
      <c r="B788" t="s">
        <v>1</v>
      </c>
      <c r="C788">
        <v>787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5">
      <c r="A789" s="1">
        <v>0.62932444444444446</v>
      </c>
      <c r="B789" t="s">
        <v>1</v>
      </c>
      <c r="C789">
        <v>788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5">
      <c r="A790" s="1">
        <v>0.62932457175925927</v>
      </c>
      <c r="B790" t="s">
        <v>1</v>
      </c>
      <c r="C790">
        <v>789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5">
      <c r="A791" s="1">
        <v>0.62932468750000004</v>
      </c>
      <c r="B791" t="s">
        <v>1</v>
      </c>
      <c r="C791">
        <v>790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5">
      <c r="A792" s="1">
        <v>0.62932480324074069</v>
      </c>
      <c r="B792" t="s">
        <v>1</v>
      </c>
      <c r="C792">
        <v>791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5">
      <c r="A793" s="1">
        <v>0.62932491898148146</v>
      </c>
      <c r="B793" t="s">
        <v>1</v>
      </c>
      <c r="C793">
        <v>792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5">
      <c r="A794" s="1">
        <v>0.62932503472222223</v>
      </c>
      <c r="B794" t="s">
        <v>1</v>
      </c>
      <c r="C794">
        <v>793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5">
      <c r="A795" s="1">
        <v>0.629325150462963</v>
      </c>
      <c r="B795" t="s">
        <v>1</v>
      </c>
      <c r="C795">
        <v>794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5">
      <c r="A796" s="1">
        <v>0.62932526620370366</v>
      </c>
      <c r="B796" t="s">
        <v>1</v>
      </c>
      <c r="C796">
        <v>795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5">
      <c r="A797" s="1">
        <v>0.6293254976851852</v>
      </c>
      <c r="B797" t="s">
        <v>1</v>
      </c>
      <c r="C797">
        <v>796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5">
      <c r="A798" s="1">
        <v>0.62932561342592597</v>
      </c>
      <c r="B798" t="s">
        <v>1</v>
      </c>
      <c r="C798">
        <v>797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5">
      <c r="A799" s="1">
        <v>0.62932572916666663</v>
      </c>
      <c r="B799" t="s">
        <v>1</v>
      </c>
      <c r="C799">
        <v>798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5">
      <c r="A800" s="1">
        <v>0.62932584490740739</v>
      </c>
      <c r="B800" t="s">
        <v>2</v>
      </c>
      <c r="C800">
        <v>799</v>
      </c>
      <c r="D800">
        <v>0</v>
      </c>
      <c r="E800">
        <v>1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s="1">
        <v>0.62932596064814816</v>
      </c>
      <c r="B801" t="s">
        <v>2</v>
      </c>
      <c r="C801">
        <v>800</v>
      </c>
      <c r="D801">
        <v>0</v>
      </c>
      <c r="E801">
        <v>1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5">
      <c r="A802" s="1">
        <v>0.62932607638888893</v>
      </c>
      <c r="B802" t="s">
        <v>2</v>
      </c>
      <c r="C802">
        <v>801</v>
      </c>
      <c r="D802">
        <v>0</v>
      </c>
      <c r="E802">
        <v>1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5">
      <c r="A803" s="1">
        <v>0.62932619212962959</v>
      </c>
      <c r="B803" t="s">
        <v>1</v>
      </c>
      <c r="C803">
        <v>802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5">
      <c r="A804" s="1">
        <v>0.62932629629629633</v>
      </c>
      <c r="B804" t="s">
        <v>1</v>
      </c>
      <c r="C804">
        <v>803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 x14ac:dyDescent="0.25">
      <c r="A805" s="1">
        <v>0.62932641203703699</v>
      </c>
      <c r="B805" t="s">
        <v>1</v>
      </c>
      <c r="C805">
        <v>804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5">
      <c r="A806" s="1">
        <v>0.62932652777777776</v>
      </c>
      <c r="B806" t="s">
        <v>1</v>
      </c>
      <c r="C806">
        <v>805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5">
      <c r="A807" s="1">
        <v>0.62932665509259256</v>
      </c>
      <c r="B807" t="s">
        <v>1</v>
      </c>
      <c r="C807">
        <v>806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5">
      <c r="A808" s="1">
        <v>0.62932677083333333</v>
      </c>
      <c r="B808" t="s">
        <v>1</v>
      </c>
      <c r="C808">
        <v>807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5">
      <c r="A809" s="1">
        <v>0.6293268865740741</v>
      </c>
      <c r="B809" t="s">
        <v>1</v>
      </c>
      <c r="C809">
        <v>808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5">
      <c r="A810" s="1">
        <v>0.62932699074074072</v>
      </c>
      <c r="B810" t="s">
        <v>1</v>
      </c>
      <c r="C810">
        <v>809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5">
      <c r="A811" s="1">
        <v>0.62932710648148149</v>
      </c>
      <c r="B811" t="s">
        <v>1</v>
      </c>
      <c r="C811">
        <v>810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5">
      <c r="A812" s="1">
        <v>0.62932722222222226</v>
      </c>
      <c r="B812" t="s">
        <v>1</v>
      </c>
      <c r="C812">
        <v>811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5">
      <c r="A813" s="1">
        <v>0.62932733796296292</v>
      </c>
      <c r="B813" t="s">
        <v>1</v>
      </c>
      <c r="C813">
        <v>812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5">
      <c r="A814" s="1">
        <v>0.62932745370370369</v>
      </c>
      <c r="B814" t="s">
        <v>1</v>
      </c>
      <c r="C814">
        <v>813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5">
      <c r="A815" s="1">
        <v>0.62932756944444446</v>
      </c>
      <c r="B815" t="s">
        <v>1</v>
      </c>
      <c r="C815">
        <v>814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5">
      <c r="A816" s="1">
        <v>0.62932768518518523</v>
      </c>
      <c r="B816" t="s">
        <v>1</v>
      </c>
      <c r="C816">
        <v>815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5">
      <c r="A817" s="1">
        <v>0.62932780092592588</v>
      </c>
      <c r="B817" t="s">
        <v>1</v>
      </c>
      <c r="C817">
        <v>816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5">
      <c r="A818" s="1">
        <v>0.62932791666666665</v>
      </c>
      <c r="B818" t="s">
        <v>1</v>
      </c>
      <c r="C818">
        <v>817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5">
      <c r="A819" s="1">
        <v>0.62932803240740742</v>
      </c>
      <c r="B819" t="s">
        <v>1</v>
      </c>
      <c r="C819">
        <v>818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5">
      <c r="A820" s="1">
        <v>0.62932814814814819</v>
      </c>
      <c r="B820" t="s">
        <v>2</v>
      </c>
      <c r="C820">
        <v>819</v>
      </c>
      <c r="D820">
        <v>0</v>
      </c>
      <c r="E820">
        <v>1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5">
      <c r="A821" s="1">
        <v>0.62932826388888885</v>
      </c>
      <c r="B821" t="s">
        <v>2</v>
      </c>
      <c r="C821">
        <v>820</v>
      </c>
      <c r="D821">
        <v>0</v>
      </c>
      <c r="E821">
        <v>1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5">
      <c r="A822" s="1">
        <v>0.62932837962962962</v>
      </c>
      <c r="B822" t="s">
        <v>2</v>
      </c>
      <c r="C822">
        <v>821</v>
      </c>
      <c r="D822">
        <v>0</v>
      </c>
      <c r="E822">
        <v>1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 x14ac:dyDescent="0.25">
      <c r="A823" s="1">
        <v>0.62932849537037039</v>
      </c>
      <c r="B823" t="s">
        <v>1</v>
      </c>
      <c r="C823">
        <v>822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5">
      <c r="A824" s="1">
        <v>0.62932861111111116</v>
      </c>
      <c r="B824" t="s">
        <v>1</v>
      </c>
      <c r="C824">
        <v>823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5">
      <c r="A825" s="1">
        <v>0.62932872685185182</v>
      </c>
      <c r="B825" t="s">
        <v>1</v>
      </c>
      <c r="C825">
        <v>824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5">
      <c r="A826" s="1">
        <v>0.62932884259259259</v>
      </c>
      <c r="B826" t="s">
        <v>1</v>
      </c>
      <c r="C826">
        <v>825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5">
      <c r="A827" s="1">
        <v>0.62932895833333335</v>
      </c>
      <c r="B827" t="s">
        <v>1</v>
      </c>
      <c r="C827">
        <v>826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5">
      <c r="A828" s="1">
        <v>0.62932907407407412</v>
      </c>
      <c r="B828" t="s">
        <v>1</v>
      </c>
      <c r="C828">
        <v>827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5">
      <c r="A829" s="1">
        <v>0.62932918981481478</v>
      </c>
      <c r="B829" t="s">
        <v>1</v>
      </c>
      <c r="C829">
        <v>828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5">
      <c r="A830" s="1">
        <v>0.62932930555555555</v>
      </c>
      <c r="B830" t="s">
        <v>1</v>
      </c>
      <c r="C830">
        <v>829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5">
      <c r="A831" s="1">
        <v>0.62932942129629632</v>
      </c>
      <c r="B831" t="s">
        <v>1</v>
      </c>
      <c r="C831">
        <v>830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5">
      <c r="A832" s="1">
        <v>0.62932953703703709</v>
      </c>
      <c r="B832" t="s">
        <v>1</v>
      </c>
      <c r="C832">
        <v>831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5">
      <c r="A833" s="1">
        <v>0.62932965277777775</v>
      </c>
      <c r="B833" t="s">
        <v>1</v>
      </c>
      <c r="C833">
        <v>832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5">
      <c r="A834" s="1">
        <v>0.62932976851851852</v>
      </c>
      <c r="B834" t="s">
        <v>1</v>
      </c>
      <c r="C834">
        <v>833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5">
      <c r="A835" s="1">
        <v>0.62932988425925929</v>
      </c>
      <c r="B835" t="s">
        <v>1</v>
      </c>
      <c r="C835">
        <v>834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5">
      <c r="A836" s="1">
        <v>0.62932999999999995</v>
      </c>
      <c r="B836" t="s">
        <v>1</v>
      </c>
      <c r="C836">
        <v>835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5">
      <c r="A837" s="1">
        <v>0.62933011574074071</v>
      </c>
      <c r="B837" t="s">
        <v>1</v>
      </c>
      <c r="C837">
        <v>836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5">
      <c r="A838" s="1">
        <v>0.62933023148148148</v>
      </c>
      <c r="B838" t="s">
        <v>1</v>
      </c>
      <c r="C838">
        <v>837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5">
      <c r="A839" s="1">
        <v>0.62933034722222225</v>
      </c>
      <c r="B839" t="s">
        <v>1</v>
      </c>
      <c r="C839">
        <v>838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5">
      <c r="A840" s="1">
        <v>0.62933046296296291</v>
      </c>
      <c r="B840" t="s">
        <v>2</v>
      </c>
      <c r="C840">
        <v>839</v>
      </c>
      <c r="D840">
        <v>0</v>
      </c>
      <c r="E840">
        <v>1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5">
      <c r="A841" s="1">
        <v>0.62933057870370368</v>
      </c>
      <c r="B841" t="s">
        <v>2</v>
      </c>
      <c r="C841">
        <v>840</v>
      </c>
      <c r="D841">
        <v>0</v>
      </c>
      <c r="E841">
        <v>1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5">
      <c r="A842" s="1">
        <v>0.62933069444444445</v>
      </c>
      <c r="B842" t="s">
        <v>2</v>
      </c>
      <c r="C842">
        <v>841</v>
      </c>
      <c r="D842">
        <v>0</v>
      </c>
      <c r="E842">
        <v>1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 x14ac:dyDescent="0.25">
      <c r="A843" s="1">
        <v>0.62933081018518522</v>
      </c>
      <c r="B843" t="s">
        <v>1</v>
      </c>
      <c r="C843">
        <v>842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5">
      <c r="A844" s="1">
        <v>0.62933092592592588</v>
      </c>
      <c r="B844" t="s">
        <v>1</v>
      </c>
      <c r="C844">
        <v>843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5">
      <c r="A845" s="1">
        <v>0.62933104166666665</v>
      </c>
      <c r="B845" t="s">
        <v>1</v>
      </c>
      <c r="C845">
        <v>844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5">
      <c r="A846" s="1">
        <v>0.62933115740740742</v>
      </c>
      <c r="B846" t="s">
        <v>1</v>
      </c>
      <c r="C846">
        <v>845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5">
      <c r="A847" s="1">
        <v>0.62933127314814818</v>
      </c>
      <c r="B847" t="s">
        <v>1</v>
      </c>
      <c r="C847">
        <v>846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5">
      <c r="A848" s="1">
        <v>0.62933138888888884</v>
      </c>
      <c r="B848" t="s">
        <v>1</v>
      </c>
      <c r="C848">
        <v>847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5">
      <c r="A849" s="1">
        <v>0.62933150462962961</v>
      </c>
      <c r="B849" t="s">
        <v>1</v>
      </c>
      <c r="C849">
        <v>848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5">
      <c r="A850" s="1">
        <v>0.62933162037037038</v>
      </c>
      <c r="B850" t="s">
        <v>1</v>
      </c>
      <c r="C850">
        <v>849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 x14ac:dyDescent="0.25">
      <c r="A851" s="1">
        <v>0.62933173611111115</v>
      </c>
      <c r="B851" t="s">
        <v>1</v>
      </c>
      <c r="C851">
        <v>850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5">
      <c r="A852" s="1">
        <v>0.62933185185185181</v>
      </c>
      <c r="B852" t="s">
        <v>1</v>
      </c>
      <c r="C852">
        <v>851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5">
      <c r="A853" s="1">
        <v>0.62933196759259258</v>
      </c>
      <c r="B853" t="s">
        <v>1</v>
      </c>
      <c r="C853">
        <v>852</v>
      </c>
      <c r="D853">
        <v>0</v>
      </c>
      <c r="E853">
        <v>0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5">
      <c r="A854" s="1">
        <v>0.62933208333333335</v>
      </c>
      <c r="B854" t="s">
        <v>1</v>
      </c>
      <c r="C854">
        <v>853</v>
      </c>
      <c r="D854">
        <v>0</v>
      </c>
      <c r="E854">
        <v>0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5">
      <c r="A855" s="1">
        <v>0.62933219907407412</v>
      </c>
      <c r="B855" t="s">
        <v>1</v>
      </c>
      <c r="C855">
        <v>854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5">
      <c r="A856" s="1">
        <v>0.62933231481481477</v>
      </c>
      <c r="B856" t="s">
        <v>1</v>
      </c>
      <c r="C856">
        <v>855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 x14ac:dyDescent="0.25">
      <c r="A857" s="1">
        <v>0.62933243055555554</v>
      </c>
      <c r="B857" t="s">
        <v>1</v>
      </c>
      <c r="C857">
        <v>856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5">
      <c r="A858" s="1">
        <v>0.62933254629629631</v>
      </c>
      <c r="B858" t="s">
        <v>1</v>
      </c>
      <c r="C858">
        <v>857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5">
      <c r="A859" s="1">
        <v>0.62933266203703708</v>
      </c>
      <c r="B859" t="s">
        <v>1</v>
      </c>
      <c r="C859">
        <v>858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5">
      <c r="A860" s="1">
        <v>0.62933277777777774</v>
      </c>
      <c r="B860" t="s">
        <v>2</v>
      </c>
      <c r="C860">
        <v>859</v>
      </c>
      <c r="D860">
        <v>0</v>
      </c>
      <c r="E860">
        <v>1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5">
      <c r="A861" s="1">
        <v>0.62933288194444448</v>
      </c>
      <c r="B861" t="s">
        <v>2</v>
      </c>
      <c r="C861">
        <v>860</v>
      </c>
      <c r="D861">
        <v>0</v>
      </c>
      <c r="E861">
        <v>1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5">
      <c r="A862" s="1">
        <v>0.62933300925925928</v>
      </c>
      <c r="B862" t="s">
        <v>2</v>
      </c>
      <c r="C862">
        <v>861</v>
      </c>
      <c r="D862">
        <v>0</v>
      </c>
      <c r="E862">
        <v>1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5">
      <c r="A863" s="1">
        <v>0.62933312500000005</v>
      </c>
      <c r="B863" t="s">
        <v>1</v>
      </c>
      <c r="C863">
        <v>862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5">
      <c r="A864" s="1">
        <v>0.62933324074074071</v>
      </c>
      <c r="B864" t="s">
        <v>1</v>
      </c>
      <c r="C864">
        <v>863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5">
      <c r="A865" s="1">
        <v>0.62933335648148148</v>
      </c>
      <c r="B865" t="s">
        <v>1</v>
      </c>
      <c r="C865">
        <v>864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5">
      <c r="A866" s="1">
        <v>0.62933347222222225</v>
      </c>
      <c r="B866" t="s">
        <v>1</v>
      </c>
      <c r="C866">
        <v>865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5">
      <c r="A867" s="1">
        <v>0.62933357638888887</v>
      </c>
      <c r="B867" t="s">
        <v>1</v>
      </c>
      <c r="C867">
        <v>866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5">
      <c r="A868" s="1">
        <v>0.62933369212962964</v>
      </c>
      <c r="B868" t="s">
        <v>1</v>
      </c>
      <c r="C868">
        <v>867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5">
      <c r="A869" s="1">
        <v>0.62933380787037041</v>
      </c>
      <c r="B869" t="s">
        <v>1</v>
      </c>
      <c r="C869">
        <v>868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5">
      <c r="A870" s="1">
        <v>0.62933393518518521</v>
      </c>
      <c r="B870" t="s">
        <v>1</v>
      </c>
      <c r="C870">
        <v>869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5">
      <c r="A871" s="1">
        <v>0.62933403935185184</v>
      </c>
      <c r="B871" t="s">
        <v>1</v>
      </c>
      <c r="C871">
        <v>870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5">
      <c r="A872" s="1">
        <v>0.62933415509259261</v>
      </c>
      <c r="B872" t="s">
        <v>1</v>
      </c>
      <c r="C872">
        <v>871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5">
      <c r="A873" s="1">
        <v>0.62933427083333338</v>
      </c>
      <c r="B873" t="s">
        <v>1</v>
      </c>
      <c r="C873">
        <v>872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5">
      <c r="A874" s="1">
        <v>0.62933438657407403</v>
      </c>
      <c r="B874" t="s">
        <v>1</v>
      </c>
      <c r="C874">
        <v>873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5">
      <c r="A875" s="1">
        <v>0.6293345023148148</v>
      </c>
      <c r="B875" t="s">
        <v>1</v>
      </c>
      <c r="C875">
        <v>874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5">
      <c r="A876" s="1">
        <v>0.62933461805555557</v>
      </c>
      <c r="B876" t="s">
        <v>1</v>
      </c>
      <c r="C876">
        <v>875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 x14ac:dyDescent="0.25">
      <c r="A877" s="1">
        <v>0.62933473379629634</v>
      </c>
      <c r="B877" t="s">
        <v>1</v>
      </c>
      <c r="C877">
        <v>876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5">
      <c r="A878" s="1">
        <v>0.629334849537037</v>
      </c>
      <c r="B878" t="s">
        <v>1</v>
      </c>
      <c r="C878">
        <v>877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 x14ac:dyDescent="0.25">
      <c r="A879" s="1">
        <v>0.62933496527777777</v>
      </c>
      <c r="B879" t="s">
        <v>1</v>
      </c>
      <c r="C879">
        <v>878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5">
      <c r="A880" s="1">
        <v>0.62933508101851854</v>
      </c>
      <c r="B880" t="s">
        <v>2</v>
      </c>
      <c r="C880">
        <v>879</v>
      </c>
      <c r="D880">
        <v>0</v>
      </c>
      <c r="E880">
        <v>1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5">
      <c r="A881" s="1">
        <v>0.62933519675925931</v>
      </c>
      <c r="B881" t="s">
        <v>2</v>
      </c>
      <c r="C881">
        <v>880</v>
      </c>
      <c r="D881">
        <v>0</v>
      </c>
      <c r="E881">
        <v>1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5">
      <c r="A882" s="1">
        <v>0.62933531249999997</v>
      </c>
      <c r="B882" t="s">
        <v>2</v>
      </c>
      <c r="C882">
        <v>881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5">
      <c r="A883" s="1">
        <v>0.62933542824074074</v>
      </c>
      <c r="B883" t="s">
        <v>1</v>
      </c>
      <c r="C883">
        <v>882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5">
      <c r="A884" s="1">
        <v>0.6293355439814815</v>
      </c>
      <c r="B884" t="s">
        <v>1</v>
      </c>
      <c r="C884">
        <v>883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5">
      <c r="A885" s="1">
        <v>0.62933565972222227</v>
      </c>
      <c r="B885" t="s">
        <v>1</v>
      </c>
      <c r="C885">
        <v>884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5">
      <c r="A886" s="1">
        <v>0.62933577546296293</v>
      </c>
      <c r="B886" t="s">
        <v>1</v>
      </c>
      <c r="C886">
        <v>885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5">
      <c r="A887" s="1">
        <v>0.6293358912037037</v>
      </c>
      <c r="B887" t="s">
        <v>1</v>
      </c>
      <c r="C887">
        <v>886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5">
      <c r="A888" s="1">
        <v>0.62933600694444447</v>
      </c>
      <c r="B888" t="s">
        <v>1</v>
      </c>
      <c r="C888">
        <v>887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5">
      <c r="A889" s="1">
        <v>0.62933612268518524</v>
      </c>
      <c r="B889" t="s">
        <v>1</v>
      </c>
      <c r="C889">
        <v>888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 x14ac:dyDescent="0.25">
      <c r="A890" s="1">
        <v>0.6293362384259259</v>
      </c>
      <c r="B890" t="s">
        <v>1</v>
      </c>
      <c r="C890">
        <v>889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5">
      <c r="A891" s="1">
        <v>0.62933635416666667</v>
      </c>
      <c r="B891" t="s">
        <v>1</v>
      </c>
      <c r="C891">
        <v>890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5">
      <c r="A892" s="1">
        <v>0.62933646990740744</v>
      </c>
      <c r="B892" t="s">
        <v>1</v>
      </c>
      <c r="C892">
        <v>891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5">
      <c r="A893" s="1">
        <v>0.62933658564814809</v>
      </c>
      <c r="B893" t="s">
        <v>1</v>
      </c>
      <c r="C893">
        <v>892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5">
      <c r="A894" s="1">
        <v>0.62933670138888886</v>
      </c>
      <c r="B894" t="s">
        <v>1</v>
      </c>
      <c r="C894">
        <v>893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5">
      <c r="A895" s="1">
        <v>0.62933681712962963</v>
      </c>
      <c r="B895" t="s">
        <v>1</v>
      </c>
      <c r="C895">
        <v>894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5">
      <c r="A896" s="1">
        <v>0.62933704861111106</v>
      </c>
      <c r="B896" t="s">
        <v>1</v>
      </c>
      <c r="C896">
        <v>895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5">
      <c r="A897" s="1">
        <v>0.62933716435185183</v>
      </c>
      <c r="B897" t="s">
        <v>1</v>
      </c>
      <c r="C897">
        <v>896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5">
      <c r="A898" s="1">
        <v>0.6293372800925926</v>
      </c>
      <c r="B898" t="s">
        <v>1</v>
      </c>
      <c r="C898">
        <v>897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5">
      <c r="A899" s="1">
        <v>0.62933739583333337</v>
      </c>
      <c r="B899" t="s">
        <v>2</v>
      </c>
      <c r="C899">
        <v>898</v>
      </c>
      <c r="D899">
        <v>0</v>
      </c>
      <c r="E899">
        <v>1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5">
      <c r="A900" s="1">
        <v>0.62933751157407403</v>
      </c>
      <c r="B900" t="s">
        <v>2</v>
      </c>
      <c r="C900">
        <v>899</v>
      </c>
      <c r="D900">
        <v>0</v>
      </c>
      <c r="E900">
        <v>1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5">
      <c r="A901" s="1">
        <v>0.6293376273148148</v>
      </c>
      <c r="B901" t="s">
        <v>2</v>
      </c>
      <c r="C901">
        <v>900</v>
      </c>
      <c r="D901">
        <v>0</v>
      </c>
      <c r="E901">
        <v>1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5">
      <c r="A902" s="1">
        <v>0.62933774305555557</v>
      </c>
      <c r="B902" t="s">
        <v>1</v>
      </c>
      <c r="C902">
        <v>901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5">
      <c r="A903" s="1">
        <v>0.62933785879629633</v>
      </c>
      <c r="B903" t="s">
        <v>1</v>
      </c>
      <c r="C903">
        <v>902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5">
      <c r="A904" s="1">
        <v>0.62933797453703699</v>
      </c>
      <c r="B904" t="s">
        <v>1</v>
      </c>
      <c r="C904">
        <v>903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5">
      <c r="A905" s="1">
        <v>0.62933809027777776</v>
      </c>
      <c r="B905" t="s">
        <v>1</v>
      </c>
      <c r="C905">
        <v>904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5">
      <c r="A906" s="1">
        <v>0.62933820601851853</v>
      </c>
      <c r="B906" t="s">
        <v>1</v>
      </c>
      <c r="C906">
        <v>905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5">
      <c r="A907" s="1">
        <v>0.6293383217592593</v>
      </c>
      <c r="B907" t="s">
        <v>1</v>
      </c>
      <c r="C907">
        <v>906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s="1">
        <v>0.62933843749999996</v>
      </c>
      <c r="B908" t="s">
        <v>1</v>
      </c>
      <c r="C908">
        <v>907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5">
      <c r="A909" s="1">
        <v>0.62933855324074073</v>
      </c>
      <c r="B909" t="s">
        <v>1</v>
      </c>
      <c r="C909">
        <v>908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5">
      <c r="A910" s="1">
        <v>0.6293386689814815</v>
      </c>
      <c r="B910" t="s">
        <v>1</v>
      </c>
      <c r="C910">
        <v>909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5">
      <c r="A911" s="1">
        <v>0.62933878472222227</v>
      </c>
      <c r="B911" t="s">
        <v>1</v>
      </c>
      <c r="C911">
        <v>910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1">
        <v>0.62933890046296292</v>
      </c>
      <c r="B912" t="s">
        <v>1</v>
      </c>
      <c r="C912">
        <v>911</v>
      </c>
      <c r="D912">
        <v>0</v>
      </c>
      <c r="E912">
        <v>0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 x14ac:dyDescent="0.25">
      <c r="A913" s="1">
        <v>0.62933901620370369</v>
      </c>
      <c r="B913" t="s">
        <v>1</v>
      </c>
      <c r="C913">
        <v>912</v>
      </c>
      <c r="D913">
        <v>0</v>
      </c>
      <c r="E913">
        <v>0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5">
      <c r="A914" s="1">
        <v>0.62933913194444446</v>
      </c>
      <c r="B914" t="s">
        <v>1</v>
      </c>
      <c r="C914">
        <v>913</v>
      </c>
      <c r="D914">
        <v>0</v>
      </c>
      <c r="E914">
        <v>0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5">
      <c r="A915" s="1">
        <v>0.62933924768518523</v>
      </c>
      <c r="B915" t="s">
        <v>1</v>
      </c>
      <c r="C915">
        <v>914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5">
      <c r="A916" s="1">
        <v>0.62933936342592589</v>
      </c>
      <c r="B916" t="s">
        <v>1</v>
      </c>
      <c r="C916">
        <v>915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5">
      <c r="A917" s="1">
        <v>0.62933947916666666</v>
      </c>
      <c r="B917" t="s">
        <v>1</v>
      </c>
      <c r="C917">
        <v>916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5">
      <c r="A918" s="1">
        <v>0.62933959490740743</v>
      </c>
      <c r="B918" t="s">
        <v>1</v>
      </c>
      <c r="C918">
        <v>917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5">
      <c r="A919" s="1">
        <v>0.6293397106481482</v>
      </c>
      <c r="B919" t="s">
        <v>2</v>
      </c>
      <c r="C919">
        <v>918</v>
      </c>
      <c r="D919">
        <v>0</v>
      </c>
      <c r="E919">
        <v>1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5">
      <c r="A920" s="1">
        <v>0.62933982638888886</v>
      </c>
      <c r="B920" t="s">
        <v>2</v>
      </c>
      <c r="C920">
        <v>919</v>
      </c>
      <c r="D920">
        <v>0</v>
      </c>
      <c r="E920">
        <v>1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5">
      <c r="A921" s="1">
        <v>0.62933994212962963</v>
      </c>
      <c r="B921" t="s">
        <v>2</v>
      </c>
      <c r="C921">
        <v>920</v>
      </c>
      <c r="D921">
        <v>0</v>
      </c>
      <c r="E921">
        <v>1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5">
      <c r="A922" s="1">
        <v>0.6293400578703704</v>
      </c>
      <c r="B922" t="s">
        <v>1</v>
      </c>
      <c r="C922">
        <v>921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5">
      <c r="A923" s="1">
        <v>0.62934017361111116</v>
      </c>
      <c r="B923" t="s">
        <v>1</v>
      </c>
      <c r="C923">
        <v>922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5">
      <c r="A924" s="1">
        <v>0.62934028935185182</v>
      </c>
      <c r="B924" t="s">
        <v>1</v>
      </c>
      <c r="C924">
        <v>923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5">
      <c r="A925" s="1">
        <v>0.62934039351851856</v>
      </c>
      <c r="B925" t="s">
        <v>1</v>
      </c>
      <c r="C925">
        <v>924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5">
      <c r="A926" s="1">
        <v>0.62934050925925922</v>
      </c>
      <c r="B926" t="s">
        <v>1</v>
      </c>
      <c r="C926">
        <v>925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5">
      <c r="A927" s="1">
        <v>0.62934062499999999</v>
      </c>
      <c r="B927" t="s">
        <v>1</v>
      </c>
      <c r="C927">
        <v>926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5">
      <c r="A928" s="1">
        <v>0.62934075231481479</v>
      </c>
      <c r="B928" t="s">
        <v>1</v>
      </c>
      <c r="C928">
        <v>927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5">
      <c r="A929" s="1">
        <v>0.62934085648148153</v>
      </c>
      <c r="B929" t="s">
        <v>1</v>
      </c>
      <c r="C929">
        <v>928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5">
      <c r="A930" s="1">
        <v>0.62934097222222218</v>
      </c>
      <c r="B930" t="s">
        <v>1</v>
      </c>
      <c r="C930">
        <v>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5">
      <c r="A931" s="1">
        <v>0.62934109953703699</v>
      </c>
      <c r="B931" t="s">
        <v>1</v>
      </c>
      <c r="C931">
        <v>930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5">
      <c r="A932" s="1">
        <v>0.62934121527777775</v>
      </c>
      <c r="B932" t="s">
        <v>1</v>
      </c>
      <c r="C932">
        <v>931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5">
      <c r="A933" s="1">
        <v>0.62934131944444449</v>
      </c>
      <c r="B933" t="s">
        <v>1</v>
      </c>
      <c r="C933">
        <v>932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5">
      <c r="A934" s="1">
        <v>0.62934143518518515</v>
      </c>
      <c r="B934" t="s">
        <v>1</v>
      </c>
      <c r="C934">
        <v>933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5">
      <c r="A935" s="1">
        <v>0.62934156249999995</v>
      </c>
      <c r="B935" t="s">
        <v>1</v>
      </c>
      <c r="C935">
        <v>934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5">
      <c r="A936" s="1">
        <v>0.62934166666666669</v>
      </c>
      <c r="B936" t="s">
        <v>1</v>
      </c>
      <c r="C936">
        <v>935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5">
      <c r="A937" s="1">
        <v>0.62934179398148149</v>
      </c>
      <c r="B937" t="s">
        <v>1</v>
      </c>
      <c r="C937">
        <v>936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5">
      <c r="A938" s="1">
        <v>0.62934189814814812</v>
      </c>
      <c r="B938" t="s">
        <v>1</v>
      </c>
      <c r="C938">
        <v>937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5">
      <c r="A939" s="1">
        <v>0.62934201388888888</v>
      </c>
      <c r="B939" t="s">
        <v>2</v>
      </c>
      <c r="C939">
        <v>938</v>
      </c>
      <c r="D939">
        <v>0</v>
      </c>
      <c r="E939">
        <v>1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5">
      <c r="A940" s="1">
        <v>0.62934212962962965</v>
      </c>
      <c r="B940" t="s">
        <v>2</v>
      </c>
      <c r="C940">
        <v>939</v>
      </c>
      <c r="D940">
        <v>0</v>
      </c>
      <c r="E940">
        <v>1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5">
      <c r="A941" s="1">
        <v>0.62934224537037042</v>
      </c>
      <c r="B941" t="s">
        <v>2</v>
      </c>
      <c r="C941">
        <v>940</v>
      </c>
      <c r="D941">
        <v>0</v>
      </c>
      <c r="E941">
        <v>1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5">
      <c r="A942" s="1">
        <v>0.62934236111111108</v>
      </c>
      <c r="B942" t="s">
        <v>1</v>
      </c>
      <c r="C942">
        <v>941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5">
      <c r="A943" s="1">
        <v>0.62934247685185185</v>
      </c>
      <c r="B943" t="s">
        <v>1</v>
      </c>
      <c r="C943">
        <v>942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5">
      <c r="A944" s="1">
        <v>0.62934259259259262</v>
      </c>
      <c r="B944" t="s">
        <v>1</v>
      </c>
      <c r="C944">
        <v>943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5">
      <c r="A945" s="1">
        <v>0.62934270833333328</v>
      </c>
      <c r="B945" t="s">
        <v>1</v>
      </c>
      <c r="C945">
        <v>944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5">
      <c r="A946" s="1">
        <v>0.62934282407407405</v>
      </c>
      <c r="B946" t="s">
        <v>1</v>
      </c>
      <c r="C946">
        <v>945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5">
      <c r="A947" s="1">
        <v>0.62934293981481482</v>
      </c>
      <c r="B947" t="s">
        <v>1</v>
      </c>
      <c r="C947">
        <v>946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5">
      <c r="A948" s="1">
        <v>0.62934305555555559</v>
      </c>
      <c r="B948" t="s">
        <v>1</v>
      </c>
      <c r="C948">
        <v>947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5">
      <c r="A949" s="1">
        <v>0.62934317129629624</v>
      </c>
      <c r="B949" t="s">
        <v>1</v>
      </c>
      <c r="C949">
        <v>948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5">
      <c r="A950" s="1">
        <v>0.62934328703703701</v>
      </c>
      <c r="B950" t="s">
        <v>1</v>
      </c>
      <c r="C950">
        <v>949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5">
      <c r="A951" s="1">
        <v>0.62934340277777778</v>
      </c>
      <c r="B951" t="s">
        <v>1</v>
      </c>
      <c r="C951">
        <v>950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5">
      <c r="A952" s="1">
        <v>0.62934351851851855</v>
      </c>
      <c r="B952" t="s">
        <v>1</v>
      </c>
      <c r="C952">
        <v>951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5">
      <c r="A953" s="1">
        <v>0.62934363425925921</v>
      </c>
      <c r="B953" t="s">
        <v>1</v>
      </c>
      <c r="C953">
        <v>952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5">
      <c r="A954" s="1">
        <v>0.62934374999999998</v>
      </c>
      <c r="B954" t="s">
        <v>1</v>
      </c>
      <c r="C954">
        <v>953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5">
      <c r="A955" s="1">
        <v>0.62934386574074075</v>
      </c>
      <c r="B955" t="s">
        <v>1</v>
      </c>
      <c r="C955">
        <v>954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5">
      <c r="A956" s="1">
        <v>0.62934398148148152</v>
      </c>
      <c r="B956" t="s">
        <v>1</v>
      </c>
      <c r="C956">
        <v>955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5">
      <c r="A957" s="1">
        <v>0.62934409722222218</v>
      </c>
      <c r="B957" t="s">
        <v>1</v>
      </c>
      <c r="C957">
        <v>956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5">
      <c r="A958" s="1">
        <v>0.62934421296296295</v>
      </c>
      <c r="B958" t="s">
        <v>1</v>
      </c>
      <c r="C958">
        <v>957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5">
      <c r="A959" s="1">
        <v>0.62934432870370371</v>
      </c>
      <c r="B959" t="s">
        <v>2</v>
      </c>
      <c r="C959">
        <v>958</v>
      </c>
      <c r="D959">
        <v>0</v>
      </c>
      <c r="E959">
        <v>1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5">
      <c r="A960" s="1">
        <v>0.62934444444444448</v>
      </c>
      <c r="B960" t="s">
        <v>2</v>
      </c>
      <c r="C960">
        <v>959</v>
      </c>
      <c r="D960">
        <v>0</v>
      </c>
      <c r="E960">
        <v>1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5">
      <c r="A961" s="1">
        <v>0.62934456018518514</v>
      </c>
      <c r="B961" t="s">
        <v>2</v>
      </c>
      <c r="C961">
        <v>960</v>
      </c>
      <c r="D961">
        <v>0</v>
      </c>
      <c r="E961">
        <v>1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5">
      <c r="A962" s="1">
        <v>0.62934467592592591</v>
      </c>
      <c r="B962" t="s">
        <v>1</v>
      </c>
      <c r="C962">
        <v>961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5">
      <c r="A963" s="1">
        <v>0.62934479166666668</v>
      </c>
      <c r="B963" t="s">
        <v>1</v>
      </c>
      <c r="C963">
        <v>962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5">
      <c r="A964" s="1">
        <v>0.62934490740740745</v>
      </c>
      <c r="B964" t="s">
        <v>1</v>
      </c>
      <c r="C964">
        <v>963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5">
      <c r="A965" s="1">
        <v>0.62934502314814811</v>
      </c>
      <c r="B965" t="s">
        <v>1</v>
      </c>
      <c r="C965">
        <v>964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5">
      <c r="A966" s="1">
        <v>0.62934513888888888</v>
      </c>
      <c r="B966" t="s">
        <v>1</v>
      </c>
      <c r="C966">
        <v>965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5">
      <c r="A967" s="1">
        <v>0.62934525462962965</v>
      </c>
      <c r="B967" t="s">
        <v>1</v>
      </c>
      <c r="C967">
        <v>966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5">
      <c r="A968" s="1">
        <v>0.62934537037037042</v>
      </c>
      <c r="B968" t="s">
        <v>1</v>
      </c>
      <c r="C968">
        <v>967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 x14ac:dyDescent="0.25">
      <c r="A969" s="1">
        <v>0.62934548611111107</v>
      </c>
      <c r="B969" t="s">
        <v>1</v>
      </c>
      <c r="C969">
        <v>968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5">
      <c r="A970" s="1">
        <v>0.62934560185185184</v>
      </c>
      <c r="B970" t="s">
        <v>1</v>
      </c>
      <c r="C970">
        <v>969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5">
      <c r="A971" s="1">
        <v>0.62934571759259261</v>
      </c>
      <c r="B971" t="s">
        <v>1</v>
      </c>
      <c r="C971">
        <v>970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5">
      <c r="A972" s="1">
        <v>0.62934583333333338</v>
      </c>
      <c r="B972" t="s">
        <v>1</v>
      </c>
      <c r="C972">
        <v>971</v>
      </c>
      <c r="D972">
        <v>0</v>
      </c>
      <c r="E972">
        <v>0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5">
      <c r="A973" s="1">
        <v>0.62934594907407404</v>
      </c>
      <c r="B973" t="s">
        <v>1</v>
      </c>
      <c r="C973">
        <v>972</v>
      </c>
      <c r="D973">
        <v>0</v>
      </c>
      <c r="E973">
        <v>0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5">
      <c r="A974" s="1">
        <v>0.62934606481481481</v>
      </c>
      <c r="B974" t="s">
        <v>1</v>
      </c>
      <c r="C974">
        <v>973</v>
      </c>
      <c r="D974">
        <v>0</v>
      </c>
      <c r="E974">
        <v>0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5">
      <c r="A975" s="1">
        <v>0.62934618055555558</v>
      </c>
      <c r="B975" t="s">
        <v>1</v>
      </c>
      <c r="C975">
        <v>974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5">
      <c r="A976" s="1">
        <v>0.6293462847222222</v>
      </c>
      <c r="B976" t="s">
        <v>1</v>
      </c>
      <c r="C976">
        <v>975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 x14ac:dyDescent="0.25">
      <c r="A977" s="1">
        <v>0.62934640046296297</v>
      </c>
      <c r="B977" t="s">
        <v>1</v>
      </c>
      <c r="C977">
        <v>976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5">
      <c r="A978" s="1">
        <v>0.62934652777777778</v>
      </c>
      <c r="B978" t="s">
        <v>1</v>
      </c>
      <c r="C978">
        <v>977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5">
      <c r="A979" s="1">
        <v>0.62934664351851854</v>
      </c>
      <c r="B979" t="s">
        <v>2</v>
      </c>
      <c r="C979">
        <v>978</v>
      </c>
      <c r="D979">
        <v>0</v>
      </c>
      <c r="E979">
        <v>1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5">
      <c r="A980" s="1">
        <v>0.62934675925925931</v>
      </c>
      <c r="B980" t="s">
        <v>2</v>
      </c>
      <c r="C980">
        <v>979</v>
      </c>
      <c r="D980">
        <v>0</v>
      </c>
      <c r="E980">
        <v>1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5">
      <c r="A981" s="1">
        <v>0.62934687499999997</v>
      </c>
      <c r="B981" t="s">
        <v>2</v>
      </c>
      <c r="C981">
        <v>980</v>
      </c>
      <c r="D981">
        <v>0</v>
      </c>
      <c r="E981">
        <v>1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5">
      <c r="A982" s="1">
        <v>0.62934697916666671</v>
      </c>
      <c r="B982" t="s">
        <v>1</v>
      </c>
      <c r="C982">
        <v>981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 x14ac:dyDescent="0.25">
      <c r="A983" s="1">
        <v>0.62934709490740737</v>
      </c>
      <c r="B983" t="s">
        <v>1</v>
      </c>
      <c r="C983">
        <v>982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5">
      <c r="A984" s="1">
        <v>0.62934721064814814</v>
      </c>
      <c r="B984" t="s">
        <v>1</v>
      </c>
      <c r="C984">
        <v>983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5">
      <c r="A985" s="1">
        <v>0.62934732638888891</v>
      </c>
      <c r="B985" t="s">
        <v>1</v>
      </c>
      <c r="C985">
        <v>984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5">
      <c r="A986" s="1">
        <v>0.62934744212962968</v>
      </c>
      <c r="B986" t="s">
        <v>1</v>
      </c>
      <c r="C986">
        <v>985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5">
      <c r="A987" s="1">
        <v>0.62934755787037033</v>
      </c>
      <c r="B987" t="s">
        <v>1</v>
      </c>
      <c r="C987">
        <v>986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5">
      <c r="A988" s="1">
        <v>0.6293476736111111</v>
      </c>
      <c r="B988" t="s">
        <v>1</v>
      </c>
      <c r="C988">
        <v>987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5">
      <c r="A989" s="1">
        <v>0.62934778935185187</v>
      </c>
      <c r="B989" t="s">
        <v>1</v>
      </c>
      <c r="C989">
        <v>988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5">
      <c r="A990" s="1">
        <v>0.62934790509259264</v>
      </c>
      <c r="B990" t="s">
        <v>1</v>
      </c>
      <c r="C990">
        <v>989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5">
      <c r="A991" s="1">
        <v>0.6293480208333333</v>
      </c>
      <c r="B991" t="s">
        <v>1</v>
      </c>
      <c r="C991">
        <v>990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5">
      <c r="A992" s="1">
        <v>0.62934813657407407</v>
      </c>
      <c r="B992" t="s">
        <v>1</v>
      </c>
      <c r="C992">
        <v>991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5">
      <c r="A993" s="1">
        <v>0.62934825231481484</v>
      </c>
      <c r="B993" t="s">
        <v>1</v>
      </c>
      <c r="C993">
        <v>992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5">
      <c r="A994" s="1">
        <v>0.62934836805555561</v>
      </c>
      <c r="B994" t="s">
        <v>1</v>
      </c>
      <c r="C994">
        <v>993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CEA05-9E16-44B6-9CC4-E17A9F410FCF}">
  <dimension ref="A1:S994"/>
  <sheetViews>
    <sheetView workbookViewId="0"/>
  </sheetViews>
  <sheetFormatPr defaultRowHeight="15" x14ac:dyDescent="0.25"/>
  <cols>
    <col min="1" max="1" width="10.28515625" bestFit="1" customWidth="1"/>
    <col min="2" max="2" width="6.85546875" bestFit="1" customWidth="1"/>
    <col min="3" max="3" width="11.85546875" bestFit="1" customWidth="1"/>
    <col min="4" max="12" width="7.140625" bestFit="1" customWidth="1"/>
    <col min="13" max="19" width="8.140625" bestFit="1" customWidth="1"/>
  </cols>
  <sheetData>
    <row r="1" spans="1:19" x14ac:dyDescent="0.25">
      <c r="A1" t="s">
        <v>145</v>
      </c>
      <c r="B1" t="s">
        <v>146</v>
      </c>
      <c r="C1" t="s">
        <v>0</v>
      </c>
      <c r="D1" t="s">
        <v>115</v>
      </c>
      <c r="E1" t="s">
        <v>116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</row>
    <row r="2" spans="1:19" x14ac:dyDescent="0.25">
      <c r="A2" s="1">
        <v>0.62866849537037039</v>
      </c>
      <c r="B2" t="s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s="1">
        <v>0.62866861111111116</v>
      </c>
      <c r="B3" t="s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s="1">
        <v>0.62866872685185182</v>
      </c>
      <c r="B4" t="s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s="1">
        <v>0.62866884259259259</v>
      </c>
      <c r="B5" t="s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s="1">
        <v>0.62866895833333336</v>
      </c>
      <c r="B6" t="s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s="1">
        <v>0.62866907407407402</v>
      </c>
      <c r="B7" t="s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s="1">
        <v>0.62866918981481479</v>
      </c>
      <c r="B8" t="s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s="1">
        <v>0.62866930555555556</v>
      </c>
      <c r="B9" t="s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s="1">
        <v>0.62866942129629633</v>
      </c>
      <c r="B10" t="s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s="1">
        <v>0.62866953703703699</v>
      </c>
      <c r="B11" t="s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s="1">
        <v>0.62866965277777775</v>
      </c>
      <c r="B12" t="s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s="1">
        <v>0.62866976851851852</v>
      </c>
      <c r="B13" t="s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1">
        <v>0.62866988425925929</v>
      </c>
      <c r="B14" t="s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5">
      <c r="A15" s="1">
        <v>0.62866999999999995</v>
      </c>
      <c r="B15" t="s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5">
      <c r="A16" s="1">
        <v>0.62867011574074072</v>
      </c>
      <c r="B16" t="s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5">
      <c r="A17" s="1">
        <v>0.62867023148148149</v>
      </c>
      <c r="B17" t="s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1">
        <v>0.62867034722222226</v>
      </c>
      <c r="B18" t="s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5">
      <c r="A19" s="1">
        <v>0.62867046296296292</v>
      </c>
      <c r="B19" t="s">
        <v>1</v>
      </c>
      <c r="C19">
        <v>18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5">
      <c r="A20" s="1">
        <v>0.62867057870370369</v>
      </c>
      <c r="B20" t="s">
        <v>2</v>
      </c>
      <c r="C20">
        <v>19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5">
      <c r="A21" s="1">
        <v>0.62867069444444446</v>
      </c>
      <c r="B21" t="s">
        <v>2</v>
      </c>
      <c r="C21">
        <v>20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s="1">
        <v>0.62867081018518522</v>
      </c>
      <c r="B22" t="s">
        <v>2</v>
      </c>
      <c r="C22">
        <v>21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5">
      <c r="A23" s="1">
        <v>0.62867092592592588</v>
      </c>
      <c r="B23" t="s">
        <v>2</v>
      </c>
      <c r="C23">
        <v>22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5">
      <c r="A24" s="1">
        <v>0.62867104166666665</v>
      </c>
      <c r="B24" t="s">
        <v>1</v>
      </c>
      <c r="C24">
        <v>23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5">
      <c r="A25" s="1">
        <v>0.62867115740740742</v>
      </c>
      <c r="B25" t="s">
        <v>1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5">
      <c r="A26" s="1">
        <v>0.62867127314814819</v>
      </c>
      <c r="B26" t="s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5">
      <c r="A27" s="1">
        <v>0.62867137731481482</v>
      </c>
      <c r="B27" t="s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5">
      <c r="A28" s="1">
        <v>0.62867149305555559</v>
      </c>
      <c r="B28" t="s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5">
      <c r="A29" s="1">
        <v>0.62867160879629624</v>
      </c>
      <c r="B29" t="s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5">
      <c r="A30" s="1">
        <v>0.62867173611111116</v>
      </c>
      <c r="B30" t="s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5">
      <c r="A31" s="1">
        <v>0.62867184027777778</v>
      </c>
      <c r="B31" t="s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5">
      <c r="A32" s="1">
        <v>0.62867195601851855</v>
      </c>
      <c r="B32" t="s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5">
      <c r="A33" s="1">
        <v>0.62867207175925921</v>
      </c>
      <c r="B33" t="s">
        <v>1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s="1">
        <v>0.62867218749999998</v>
      </c>
      <c r="B34" t="s">
        <v>1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5">
      <c r="A35" s="1">
        <v>0.62867230324074075</v>
      </c>
      <c r="B35" t="s">
        <v>1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s="1">
        <v>0.62867241898148152</v>
      </c>
      <c r="B36" t="s">
        <v>1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5">
      <c r="A37" s="1">
        <v>0.62867254629629632</v>
      </c>
      <c r="B37" t="s">
        <v>1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s="1">
        <v>0.62867266203703709</v>
      </c>
      <c r="B38" t="s">
        <v>1</v>
      </c>
      <c r="C38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5">
      <c r="A39" s="1">
        <v>0.62867276620370371</v>
      </c>
      <c r="B39" t="s">
        <v>1</v>
      </c>
      <c r="C39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1">
        <v>0.62867288194444448</v>
      </c>
      <c r="B40" t="s">
        <v>1</v>
      </c>
      <c r="C40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5">
      <c r="A41" s="1">
        <v>0.62867299768518514</v>
      </c>
      <c r="B41" t="s">
        <v>1</v>
      </c>
      <c r="C41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s="1">
        <v>0.62867311342592591</v>
      </c>
      <c r="B42" t="s">
        <v>1</v>
      </c>
      <c r="C42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5">
      <c r="A43" s="1">
        <v>0.62867322916666668</v>
      </c>
      <c r="B43" t="s">
        <v>1</v>
      </c>
      <c r="C43">
        <v>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s="1">
        <v>0.62867334490740745</v>
      </c>
      <c r="B44" t="s">
        <v>1</v>
      </c>
      <c r="C44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5">
      <c r="A45" s="1">
        <v>0.62867346064814811</v>
      </c>
      <c r="B45" t="s">
        <v>1</v>
      </c>
      <c r="C45">
        <v>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s="1">
        <v>0.62867357638888888</v>
      </c>
      <c r="B46" t="s">
        <v>1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5">
      <c r="A47" s="1">
        <v>0.62867369212962965</v>
      </c>
      <c r="B47" t="s">
        <v>1</v>
      </c>
      <c r="C47">
        <v>46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s="1">
        <v>0.62867380787037042</v>
      </c>
      <c r="B48" t="s">
        <v>1</v>
      </c>
      <c r="C48">
        <v>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5">
      <c r="A49" s="1">
        <v>0.62867392361111107</v>
      </c>
      <c r="B49" t="s">
        <v>1</v>
      </c>
      <c r="C49">
        <v>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1">
        <v>0.62867403935185184</v>
      </c>
      <c r="B50" t="s">
        <v>2</v>
      </c>
      <c r="C50">
        <v>49</v>
      </c>
      <c r="D50">
        <v>0</v>
      </c>
      <c r="E50">
        <v>1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5">
      <c r="A51" s="1">
        <v>0.62867415509259261</v>
      </c>
      <c r="B51" t="s">
        <v>2</v>
      </c>
      <c r="C51">
        <v>50</v>
      </c>
      <c r="D51">
        <v>0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5">
      <c r="A52" s="1">
        <v>0.62867427083333338</v>
      </c>
      <c r="B52" t="s">
        <v>2</v>
      </c>
      <c r="C52">
        <v>51</v>
      </c>
      <c r="D52">
        <v>0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5">
      <c r="A53" s="1">
        <v>0.62867438657407404</v>
      </c>
      <c r="B53" t="s">
        <v>2</v>
      </c>
      <c r="C53">
        <v>52</v>
      </c>
      <c r="D53">
        <v>0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5">
      <c r="A54" s="1">
        <v>0.62867450231481481</v>
      </c>
      <c r="B54" t="s">
        <v>1</v>
      </c>
      <c r="C54">
        <v>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5">
      <c r="A55" s="1">
        <v>0.62867461805555558</v>
      </c>
      <c r="B55" t="s">
        <v>1</v>
      </c>
      <c r="C55">
        <v>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5">
      <c r="A56" s="1">
        <v>0.62867473379629635</v>
      </c>
      <c r="B56" t="s">
        <v>1</v>
      </c>
      <c r="C56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5">
      <c r="A57" s="1">
        <v>0.62867484953703701</v>
      </c>
      <c r="B57" t="s">
        <v>1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5">
      <c r="A58" s="1">
        <v>0.62867496527777778</v>
      </c>
      <c r="B58" t="s">
        <v>1</v>
      </c>
      <c r="C58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5">
      <c r="A59" s="1">
        <v>0.62867508101851854</v>
      </c>
      <c r="B59" t="s">
        <v>1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5">
      <c r="A60" s="1">
        <v>0.62867519675925931</v>
      </c>
      <c r="B60" t="s">
        <v>1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5">
      <c r="A61" s="1">
        <v>0.62867531249999997</v>
      </c>
      <c r="B61" t="s">
        <v>1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5">
      <c r="A62" s="1">
        <v>0.62867542824074074</v>
      </c>
      <c r="B62" t="s">
        <v>1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1">
        <v>0.62867554398148151</v>
      </c>
      <c r="B63" t="s">
        <v>1</v>
      </c>
      <c r="C63">
        <v>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5">
      <c r="A64" s="1">
        <v>0.62867565972222217</v>
      </c>
      <c r="B64" t="s">
        <v>1</v>
      </c>
      <c r="C64">
        <v>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5">
      <c r="A65" s="1">
        <v>0.62867577546296294</v>
      </c>
      <c r="B65" t="s">
        <v>1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5">
      <c r="A66" s="1">
        <v>0.62867589120370371</v>
      </c>
      <c r="B66" t="s">
        <v>1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5">
      <c r="A67" s="1">
        <v>0.62867600694444448</v>
      </c>
      <c r="B67" t="s">
        <v>1</v>
      </c>
      <c r="C67">
        <v>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5">
      <c r="A68" s="1">
        <v>0.62867612268518513</v>
      </c>
      <c r="B68" t="s">
        <v>1</v>
      </c>
      <c r="C68">
        <v>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5">
      <c r="A69" s="1">
        <v>0.6286762384259259</v>
      </c>
      <c r="B69" t="s">
        <v>1</v>
      </c>
      <c r="C69">
        <v>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5">
      <c r="A70" s="1">
        <v>0.62867635416666667</v>
      </c>
      <c r="B70" t="s">
        <v>1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5">
      <c r="A71" s="1">
        <v>0.62867646990740744</v>
      </c>
      <c r="B71" t="s">
        <v>1</v>
      </c>
      <c r="C71">
        <v>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5">
      <c r="A72" s="1">
        <v>0.6286765856481481</v>
      </c>
      <c r="B72" t="s">
        <v>1</v>
      </c>
      <c r="C72">
        <v>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5">
      <c r="A73" s="1">
        <v>0.62867670138888887</v>
      </c>
      <c r="B73" t="s">
        <v>1</v>
      </c>
      <c r="C73">
        <v>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5">
      <c r="A74" s="1">
        <v>0.62867681712962964</v>
      </c>
      <c r="B74" t="s">
        <v>1</v>
      </c>
      <c r="C74">
        <v>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5">
      <c r="A75" s="1">
        <v>0.62867693287037041</v>
      </c>
      <c r="B75" t="s">
        <v>1</v>
      </c>
      <c r="C75">
        <v>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5">
      <c r="A76" s="1">
        <v>0.62867704861111107</v>
      </c>
      <c r="B76" t="s">
        <v>1</v>
      </c>
      <c r="C76">
        <v>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5">
      <c r="A77" s="1">
        <v>0.62867716435185184</v>
      </c>
      <c r="B77" t="s">
        <v>1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5">
      <c r="A78" s="1">
        <v>0.62867728009259261</v>
      </c>
      <c r="B78" t="s">
        <v>1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5">
      <c r="A79" s="1">
        <v>0.62867739583333337</v>
      </c>
      <c r="B79" t="s">
        <v>1</v>
      </c>
      <c r="C79">
        <v>78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5">
      <c r="A80" s="1">
        <v>0.62867751157407403</v>
      </c>
      <c r="B80" t="s">
        <v>2</v>
      </c>
      <c r="C80">
        <v>79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5">
      <c r="A81" s="1">
        <v>0.6286776273148148</v>
      </c>
      <c r="B81" t="s">
        <v>2</v>
      </c>
      <c r="C81">
        <v>80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5">
      <c r="A82" s="1">
        <v>0.62867773148148143</v>
      </c>
      <c r="B82" t="s">
        <v>2</v>
      </c>
      <c r="C82">
        <v>81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1">
        <v>0.6286778472222222</v>
      </c>
      <c r="B83" t="s">
        <v>2</v>
      </c>
      <c r="C83">
        <v>82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5">
      <c r="A84" s="1">
        <v>0.62867796296296297</v>
      </c>
      <c r="B84" t="s">
        <v>1</v>
      </c>
      <c r="C84">
        <v>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5">
      <c r="A85" s="1">
        <v>0.62867807870370374</v>
      </c>
      <c r="B85" t="s">
        <v>1</v>
      </c>
      <c r="C85">
        <v>84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5">
      <c r="A86" s="1">
        <v>0.62867820601851854</v>
      </c>
      <c r="B86" t="s">
        <v>1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5">
      <c r="A87" s="1">
        <v>0.62867843749999996</v>
      </c>
      <c r="B87" t="s">
        <v>1</v>
      </c>
      <c r="C87">
        <v>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5">
      <c r="A88" s="1">
        <v>0.6286785416666667</v>
      </c>
      <c r="B88" t="s">
        <v>1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5">
      <c r="A89" s="1">
        <v>0.62867865740740736</v>
      </c>
      <c r="B89" t="s">
        <v>1</v>
      </c>
      <c r="C89">
        <v>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5">
      <c r="A90" s="1">
        <v>0.62867877314814813</v>
      </c>
      <c r="B90" t="s">
        <v>1</v>
      </c>
      <c r="C90">
        <v>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5">
      <c r="A91" s="1">
        <v>0.6286788888888889</v>
      </c>
      <c r="B91" t="s">
        <v>1</v>
      </c>
      <c r="C91">
        <v>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5">
      <c r="A92" s="1">
        <v>0.6286790162037037</v>
      </c>
      <c r="B92" t="s">
        <v>1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5">
      <c r="A93" s="1">
        <v>0.62867913194444447</v>
      </c>
      <c r="B93" t="s">
        <v>1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5">
      <c r="A94" s="1">
        <v>0.62867923611111109</v>
      </c>
      <c r="B94" t="s">
        <v>1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5">
      <c r="A95" s="1">
        <v>0.62867935185185186</v>
      </c>
      <c r="B95" t="s">
        <v>1</v>
      </c>
      <c r="C95">
        <v>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5">
      <c r="A96" s="1">
        <v>0.62867947916666667</v>
      </c>
      <c r="B96" t="s">
        <v>1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5">
      <c r="A97" s="1">
        <v>0.62867959490740744</v>
      </c>
      <c r="B97" t="s">
        <v>1</v>
      </c>
      <c r="C97">
        <v>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5">
      <c r="A98" s="1">
        <v>0.62867971064814809</v>
      </c>
      <c r="B98" t="s">
        <v>1</v>
      </c>
      <c r="C98">
        <v>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5">
      <c r="A99" s="1">
        <v>0.62867981481481483</v>
      </c>
      <c r="B99" t="s">
        <v>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5">
      <c r="A100" s="1">
        <v>0.6286799305555556</v>
      </c>
      <c r="B100" t="s">
        <v>1</v>
      </c>
      <c r="C100">
        <v>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5">
      <c r="A101" s="1">
        <v>0.62868004629629626</v>
      </c>
      <c r="B101" t="s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5">
      <c r="A102" s="1">
        <v>0.62868016203703703</v>
      </c>
      <c r="B102" t="s">
        <v>1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5">
      <c r="A103" s="1">
        <v>0.6286802777777778</v>
      </c>
      <c r="B103" t="s">
        <v>1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5">
      <c r="A104" s="1">
        <v>0.62868039351851857</v>
      </c>
      <c r="B104" t="s">
        <v>1</v>
      </c>
      <c r="C104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5">
      <c r="A105" s="1">
        <v>0.62868050925925922</v>
      </c>
      <c r="B105" t="s">
        <v>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5">
      <c r="A106" s="1">
        <v>0.62868062499999999</v>
      </c>
      <c r="B106" t="s">
        <v>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5">
      <c r="A107" s="1">
        <v>0.62868074074074076</v>
      </c>
      <c r="B107" t="s">
        <v>1</v>
      </c>
      <c r="C107">
        <v>106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5">
      <c r="A108" s="1">
        <v>0.62868085648148153</v>
      </c>
      <c r="B108" t="s">
        <v>1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5">
      <c r="A109" s="1">
        <v>0.62868097222222219</v>
      </c>
      <c r="B109" t="s">
        <v>2</v>
      </c>
      <c r="C109">
        <v>108</v>
      </c>
      <c r="D109">
        <v>0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5">
      <c r="A110" s="1">
        <v>0.62868108796296296</v>
      </c>
      <c r="B110" t="s">
        <v>2</v>
      </c>
      <c r="C110">
        <v>109</v>
      </c>
      <c r="D110">
        <v>0</v>
      </c>
      <c r="E110">
        <v>1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5">
      <c r="A111" s="1">
        <v>0.62868120370370373</v>
      </c>
      <c r="B111" t="s">
        <v>2</v>
      </c>
      <c r="C111">
        <v>110</v>
      </c>
      <c r="D111">
        <v>0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5">
      <c r="A112" s="1">
        <v>0.6286813194444445</v>
      </c>
      <c r="B112" t="s">
        <v>2</v>
      </c>
      <c r="C112">
        <v>111</v>
      </c>
      <c r="D112">
        <v>0</v>
      </c>
      <c r="E112">
        <v>1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5">
      <c r="A113" s="1">
        <v>0.62868143518518516</v>
      </c>
      <c r="B113" t="s">
        <v>1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 x14ac:dyDescent="0.25">
      <c r="A114" s="1">
        <v>0.62868155092592592</v>
      </c>
      <c r="B114" t="s">
        <v>1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5">
      <c r="A115" s="1">
        <v>0.62868166666666669</v>
      </c>
      <c r="B115" t="s">
        <v>1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5">
      <c r="A116" s="1">
        <v>0.62868178240740735</v>
      </c>
      <c r="B116" t="s">
        <v>1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5">
      <c r="A117" s="1">
        <v>0.62868189814814812</v>
      </c>
      <c r="B117" t="s">
        <v>1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5">
      <c r="A118" s="1">
        <v>0.62868201388888889</v>
      </c>
      <c r="B118" t="s">
        <v>1</v>
      </c>
      <c r="C118">
        <v>117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5">
      <c r="A119" s="1">
        <v>0.62868212962962966</v>
      </c>
      <c r="B119" t="s">
        <v>1</v>
      </c>
      <c r="C119">
        <v>118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5">
      <c r="A120" s="1">
        <v>0.62868224537037032</v>
      </c>
      <c r="B120" t="s">
        <v>1</v>
      </c>
      <c r="C120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5">
      <c r="A121" s="1">
        <v>0.62868236111111109</v>
      </c>
      <c r="B121" t="s">
        <v>1</v>
      </c>
      <c r="C121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5">
      <c r="A122" s="1">
        <v>0.62868247685185186</v>
      </c>
      <c r="B122" t="s">
        <v>1</v>
      </c>
      <c r="C122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5">
      <c r="A123" s="1">
        <v>0.62868259259259263</v>
      </c>
      <c r="B123" t="s">
        <v>1</v>
      </c>
      <c r="C123">
        <v>122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5">
      <c r="A124" s="1">
        <v>0.62868270833333328</v>
      </c>
      <c r="B124" t="s">
        <v>1</v>
      </c>
      <c r="C124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5">
      <c r="A125" s="1">
        <v>0.62868282407407405</v>
      </c>
      <c r="B125" t="s">
        <v>1</v>
      </c>
      <c r="C125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5">
      <c r="A126" s="1">
        <v>0.62868293981481482</v>
      </c>
      <c r="B126" t="s">
        <v>1</v>
      </c>
      <c r="C126">
        <v>125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5">
      <c r="A127" s="1">
        <v>0.62868305555555559</v>
      </c>
      <c r="B127" t="s">
        <v>1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5">
      <c r="A128" s="1">
        <v>0.62868317129629625</v>
      </c>
      <c r="B128" t="s">
        <v>1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5">
      <c r="A129" s="1">
        <v>0.62868328703703702</v>
      </c>
      <c r="B129" t="s">
        <v>1</v>
      </c>
      <c r="C129">
        <v>128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5">
      <c r="A130" s="1">
        <v>0.62868340277777779</v>
      </c>
      <c r="B130" t="s">
        <v>1</v>
      </c>
      <c r="C130">
        <v>129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s="1">
        <v>0.62868351851851856</v>
      </c>
      <c r="B131" t="s">
        <v>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5">
      <c r="A132" s="1">
        <v>0.62868363425925922</v>
      </c>
      <c r="B132" t="s">
        <v>1</v>
      </c>
      <c r="C132">
        <v>131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5">
      <c r="A133" s="1">
        <v>0.62868374999999999</v>
      </c>
      <c r="B133" t="s">
        <v>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5">
      <c r="A134" s="1">
        <v>0.62868386574074075</v>
      </c>
      <c r="B134" t="s">
        <v>1</v>
      </c>
      <c r="C134">
        <v>133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 x14ac:dyDescent="0.25">
      <c r="A135" s="1">
        <v>0.62868398148148152</v>
      </c>
      <c r="B135" t="s">
        <v>1</v>
      </c>
      <c r="C135">
        <v>134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5">
      <c r="A136" s="1">
        <v>0.62868409722222218</v>
      </c>
      <c r="B136" t="s">
        <v>1</v>
      </c>
      <c r="C136">
        <v>135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1">
        <v>0.62868421296296295</v>
      </c>
      <c r="B137" t="s">
        <v>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5">
      <c r="A138" s="1">
        <v>0.62868432870370372</v>
      </c>
      <c r="B138" t="s">
        <v>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5">
      <c r="A139" s="1">
        <v>0.62868444444444449</v>
      </c>
      <c r="B139" t="s">
        <v>2</v>
      </c>
      <c r="C139">
        <v>138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5">
      <c r="A140" s="1">
        <v>0.62868456018518515</v>
      </c>
      <c r="B140" t="s">
        <v>2</v>
      </c>
      <c r="C140">
        <v>139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5">
      <c r="A141" s="1">
        <v>0.62868467592592592</v>
      </c>
      <c r="B141" t="s">
        <v>2</v>
      </c>
      <c r="C141">
        <v>140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5">
      <c r="A142" s="1">
        <v>0.62868479166666669</v>
      </c>
      <c r="B142" t="s">
        <v>2</v>
      </c>
      <c r="C142">
        <v>141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5">
      <c r="A143" s="1">
        <v>0.62868490740740746</v>
      </c>
      <c r="B143" t="s">
        <v>1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5">
      <c r="A144" s="1">
        <v>0.62868501157407408</v>
      </c>
      <c r="B144" t="s">
        <v>1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5">
      <c r="A145" s="1">
        <v>0.62868512731481485</v>
      </c>
      <c r="B145" t="s">
        <v>1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5">
      <c r="A146" s="1">
        <v>0.62868524305555551</v>
      </c>
      <c r="B146" t="s">
        <v>1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5">
      <c r="A147" s="1">
        <v>0.62868535879629628</v>
      </c>
      <c r="B147" t="s">
        <v>1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1">
        <v>0.62868547453703705</v>
      </c>
      <c r="B148" t="s">
        <v>1</v>
      </c>
      <c r="C148">
        <v>147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5">
      <c r="A149" s="1">
        <v>0.62868560185185185</v>
      </c>
      <c r="B149" t="s">
        <v>1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5">
      <c r="A150" s="1">
        <v>0.62868570601851848</v>
      </c>
      <c r="B150" t="s">
        <v>1</v>
      </c>
      <c r="C150">
        <v>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5">
      <c r="A151" s="1">
        <v>0.62868582175925924</v>
      </c>
      <c r="B151" t="s">
        <v>1</v>
      </c>
      <c r="C151">
        <v>150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5">
      <c r="A152" s="1">
        <v>0.62868593750000001</v>
      </c>
      <c r="B152" t="s">
        <v>1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s="1">
        <v>0.62868605324074078</v>
      </c>
      <c r="B153" t="s">
        <v>1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5">
      <c r="A154" s="1">
        <v>0.62868618055555558</v>
      </c>
      <c r="B154" t="s">
        <v>1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5">
      <c r="A155" s="1">
        <v>0.62868629629629624</v>
      </c>
      <c r="B155" t="s">
        <v>1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5">
      <c r="A156" s="1">
        <v>0.62868640046296298</v>
      </c>
      <c r="B156" t="s">
        <v>1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5">
      <c r="A157" s="1">
        <v>0.62868651620370375</v>
      </c>
      <c r="B157" t="s">
        <v>1</v>
      </c>
      <c r="C157">
        <v>156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5">
      <c r="A158" s="1">
        <v>0.62868663194444441</v>
      </c>
      <c r="B158" t="s">
        <v>1</v>
      </c>
      <c r="C158">
        <v>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5">
      <c r="A159" s="1">
        <v>0.62868674768518518</v>
      </c>
      <c r="B159" t="s">
        <v>1</v>
      </c>
      <c r="C159">
        <v>158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5">
      <c r="A160" s="1">
        <v>0.62868687499999998</v>
      </c>
      <c r="B160" t="s">
        <v>1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5">
      <c r="A161" s="1">
        <v>0.62868699074074075</v>
      </c>
      <c r="B161" t="s">
        <v>1</v>
      </c>
      <c r="C161">
        <v>160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5">
      <c r="A162" s="1">
        <v>0.62868709490740737</v>
      </c>
      <c r="B162" t="s">
        <v>1</v>
      </c>
      <c r="C162">
        <v>161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5">
      <c r="A163" s="1">
        <v>0.62868721064814814</v>
      </c>
      <c r="B163" t="s">
        <v>1</v>
      </c>
      <c r="C163">
        <v>162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5">
      <c r="A164" s="1">
        <v>0.62868732638888891</v>
      </c>
      <c r="B164" t="s">
        <v>1</v>
      </c>
      <c r="C164">
        <v>163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5">
      <c r="A165" s="1">
        <v>0.62868744212962968</v>
      </c>
      <c r="B165" t="s">
        <v>1</v>
      </c>
      <c r="C165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5">
      <c r="A166" s="1">
        <v>0.62868755787037034</v>
      </c>
      <c r="B166" t="s">
        <v>1</v>
      </c>
      <c r="C166">
        <v>165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5">
      <c r="A167" s="1">
        <v>0.62868767361111111</v>
      </c>
      <c r="B167" t="s">
        <v>1</v>
      </c>
      <c r="C167">
        <v>166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5">
      <c r="A168" s="1">
        <v>0.62868778935185188</v>
      </c>
      <c r="B168" t="s">
        <v>1</v>
      </c>
      <c r="C168">
        <v>167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5">
      <c r="A169" s="1">
        <v>0.62868790509259265</v>
      </c>
      <c r="B169" t="s">
        <v>2</v>
      </c>
      <c r="C169">
        <v>168</v>
      </c>
      <c r="D169">
        <v>0</v>
      </c>
      <c r="E169">
        <v>1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5">
      <c r="A170" s="1">
        <v>0.62868802083333331</v>
      </c>
      <c r="B170" t="s">
        <v>2</v>
      </c>
      <c r="C170">
        <v>169</v>
      </c>
      <c r="D170">
        <v>0</v>
      </c>
      <c r="E170">
        <v>1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5">
      <c r="A171" s="1">
        <v>0.62868813657407407</v>
      </c>
      <c r="B171" t="s">
        <v>2</v>
      </c>
      <c r="C171">
        <v>170</v>
      </c>
      <c r="D171">
        <v>0</v>
      </c>
      <c r="E171">
        <v>1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5">
      <c r="A172" s="1">
        <v>0.62868825231481484</v>
      </c>
      <c r="B172" t="s">
        <v>2</v>
      </c>
      <c r="C172">
        <v>171</v>
      </c>
      <c r="D172">
        <v>0</v>
      </c>
      <c r="E172">
        <v>1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5">
      <c r="A173" s="1">
        <v>0.6286883680555555</v>
      </c>
      <c r="B173" t="s">
        <v>1</v>
      </c>
      <c r="C173">
        <v>172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5">
      <c r="A174" s="1">
        <v>0.62868848379629627</v>
      </c>
      <c r="B174" t="s">
        <v>1</v>
      </c>
      <c r="C174">
        <v>173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5">
      <c r="A175" s="1">
        <v>0.62868859953703704</v>
      </c>
      <c r="B175" t="s">
        <v>1</v>
      </c>
      <c r="C175">
        <v>174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5">
      <c r="A176" s="1">
        <v>0.62868871527777781</v>
      </c>
      <c r="B176" t="s">
        <v>1</v>
      </c>
      <c r="C176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5">
      <c r="A177" s="1">
        <v>0.62868883101851847</v>
      </c>
      <c r="B177" t="s">
        <v>1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5">
      <c r="A178" s="1">
        <v>0.62868894675925924</v>
      </c>
      <c r="B178" t="s">
        <v>1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1">
        <v>0.62868906250000001</v>
      </c>
      <c r="B179" t="s">
        <v>1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5">
      <c r="A180" s="1">
        <v>0.62868917824074078</v>
      </c>
      <c r="B180" t="s">
        <v>1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1">
        <v>0.62868929398148143</v>
      </c>
      <c r="B181" t="s">
        <v>1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5">
      <c r="A182" s="1">
        <v>0.6286894097222222</v>
      </c>
      <c r="B182" t="s">
        <v>1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5">
      <c r="A183" s="1">
        <v>0.62868952546296297</v>
      </c>
      <c r="B183" t="s">
        <v>1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5">
      <c r="A184" s="1">
        <v>0.62868964120370374</v>
      </c>
      <c r="B184" t="s">
        <v>1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5">
      <c r="A185" s="1">
        <v>0.6286897569444444</v>
      </c>
      <c r="B185" t="s">
        <v>1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5">
      <c r="A186" s="1">
        <v>0.62868998842592594</v>
      </c>
      <c r="B186" t="s">
        <v>1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5">
      <c r="A187" s="1">
        <v>0.62869010416666671</v>
      </c>
      <c r="B187" t="s">
        <v>1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5">
      <c r="A188" s="1">
        <v>0.62869021990740737</v>
      </c>
      <c r="B188" t="s">
        <v>1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5">
      <c r="A189" s="1">
        <v>0.62869033564814814</v>
      </c>
      <c r="B189" t="s">
        <v>1</v>
      </c>
      <c r="C189">
        <v>188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5">
      <c r="A190" s="1">
        <v>0.6286904513888889</v>
      </c>
      <c r="B190" t="s">
        <v>1</v>
      </c>
      <c r="C190">
        <v>189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5">
      <c r="A191" s="1">
        <v>0.62869056712962967</v>
      </c>
      <c r="B191" t="s">
        <v>1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 x14ac:dyDescent="0.25">
      <c r="A192" s="1">
        <v>0.62869068287037033</v>
      </c>
      <c r="B192" t="s">
        <v>1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5">
      <c r="A193" s="1">
        <v>0.62869078703703707</v>
      </c>
      <c r="B193" t="s">
        <v>1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5">
      <c r="A194" s="1">
        <v>0.62869090277777773</v>
      </c>
      <c r="B194" t="s">
        <v>1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5">
      <c r="A195" s="1">
        <v>0.6286910185185185</v>
      </c>
      <c r="B195" t="s">
        <v>1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5">
      <c r="A196" s="1">
        <v>0.6286911458333333</v>
      </c>
      <c r="B196" t="s">
        <v>1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 x14ac:dyDescent="0.25">
      <c r="A197" s="1">
        <v>0.62869126157407407</v>
      </c>
      <c r="B197" t="s">
        <v>1</v>
      </c>
      <c r="C197">
        <v>196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5">
      <c r="A198" s="1">
        <v>0.62869137731481484</v>
      </c>
      <c r="B198" t="s">
        <v>2</v>
      </c>
      <c r="C198">
        <v>197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5">
      <c r="A199" s="1">
        <v>0.62869149305555561</v>
      </c>
      <c r="B199" t="s">
        <v>2</v>
      </c>
      <c r="C199">
        <v>198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5">
      <c r="A200" s="1">
        <v>0.62869159722222223</v>
      </c>
      <c r="B200" t="s">
        <v>2</v>
      </c>
      <c r="C200">
        <v>199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 x14ac:dyDescent="0.25">
      <c r="A201" s="1">
        <v>0.62869172453703703</v>
      </c>
      <c r="B201" t="s">
        <v>2</v>
      </c>
      <c r="C201">
        <v>200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5">
      <c r="A202" s="1">
        <v>0.62869182870370366</v>
      </c>
      <c r="B202" t="s">
        <v>1</v>
      </c>
      <c r="C202">
        <v>201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 x14ac:dyDescent="0.25">
      <c r="A203" s="1">
        <v>0.62869194444444443</v>
      </c>
      <c r="B203" t="s">
        <v>1</v>
      </c>
      <c r="C203">
        <v>202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5">
      <c r="A204" s="1">
        <v>0.6286920601851852</v>
      </c>
      <c r="B204" t="s">
        <v>1</v>
      </c>
      <c r="C204">
        <v>203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5">
      <c r="A205" s="1">
        <v>0.62869217592592597</v>
      </c>
      <c r="B205" t="s">
        <v>1</v>
      </c>
      <c r="C205">
        <v>204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5">
      <c r="A206" s="1">
        <v>0.62869229166666663</v>
      </c>
      <c r="B206" t="s">
        <v>1</v>
      </c>
      <c r="C206">
        <v>205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5">
      <c r="A207" s="1">
        <v>0.62869240740740739</v>
      </c>
      <c r="B207" t="s">
        <v>1</v>
      </c>
      <c r="C207">
        <v>206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5">
      <c r="A208" s="1">
        <v>0.6286925347222222</v>
      </c>
      <c r="B208" t="s">
        <v>1</v>
      </c>
      <c r="C208">
        <v>207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5">
      <c r="A209" s="1">
        <v>0.62869263888888893</v>
      </c>
      <c r="B209" t="s">
        <v>1</v>
      </c>
      <c r="C209">
        <v>208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5">
      <c r="A210" s="1">
        <v>0.62869276620370373</v>
      </c>
      <c r="B210" t="s">
        <v>1</v>
      </c>
      <c r="C210">
        <v>209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5">
      <c r="A211" s="1">
        <v>0.62869287037037036</v>
      </c>
      <c r="B211" t="s">
        <v>1</v>
      </c>
      <c r="C211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1">
        <v>0.62869298611111113</v>
      </c>
      <c r="B212" t="s">
        <v>1</v>
      </c>
      <c r="C212">
        <v>211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5">
      <c r="A213" s="1">
        <v>0.6286931018518519</v>
      </c>
      <c r="B213" t="s">
        <v>1</v>
      </c>
      <c r="C213">
        <v>212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5">
      <c r="A214" s="1">
        <v>0.62869321759259256</v>
      </c>
      <c r="B214" t="s">
        <v>1</v>
      </c>
      <c r="C214">
        <v>213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5">
      <c r="A215" s="1">
        <v>0.62869333333333333</v>
      </c>
      <c r="B215" t="s">
        <v>1</v>
      </c>
      <c r="C215">
        <v>214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5">
      <c r="A216" s="1">
        <v>0.6286934490740741</v>
      </c>
      <c r="B216" t="s">
        <v>1</v>
      </c>
      <c r="C216">
        <v>215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5">
      <c r="A217" s="1">
        <v>0.62869356481481486</v>
      </c>
      <c r="B217" t="s">
        <v>1</v>
      </c>
      <c r="C217">
        <v>216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5">
      <c r="A218" s="1">
        <v>0.62869368055555552</v>
      </c>
      <c r="B218" t="s">
        <v>1</v>
      </c>
      <c r="C218">
        <v>217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5">
      <c r="A219" s="1">
        <v>0.62869379629629629</v>
      </c>
      <c r="B219" t="s">
        <v>1</v>
      </c>
      <c r="C219">
        <v>218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5">
      <c r="A220" s="1">
        <v>0.62869391203703706</v>
      </c>
      <c r="B220" t="s">
        <v>1</v>
      </c>
      <c r="C220">
        <v>219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 x14ac:dyDescent="0.25">
      <c r="A221" s="1">
        <v>0.62869402777777783</v>
      </c>
      <c r="B221" t="s">
        <v>1</v>
      </c>
      <c r="C221">
        <v>220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5">
      <c r="A222" s="1">
        <v>0.62869414351851849</v>
      </c>
      <c r="B222" t="s">
        <v>1</v>
      </c>
      <c r="C222">
        <v>221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 x14ac:dyDescent="0.25">
      <c r="A223" s="1">
        <v>0.62869425925925926</v>
      </c>
      <c r="B223" t="s">
        <v>1</v>
      </c>
      <c r="C223">
        <v>222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5">
      <c r="A224" s="1">
        <v>0.62869437500000003</v>
      </c>
      <c r="B224" t="s">
        <v>1</v>
      </c>
      <c r="C224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5">
      <c r="A225" s="1">
        <v>0.62869449074074069</v>
      </c>
      <c r="B225" t="s">
        <v>1</v>
      </c>
      <c r="C225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5">
      <c r="A226" s="1">
        <v>0.62869460648148145</v>
      </c>
      <c r="B226" t="s">
        <v>1</v>
      </c>
      <c r="C226">
        <v>225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5">
      <c r="A227" s="1">
        <v>0.62869472222222222</v>
      </c>
      <c r="B227" t="s">
        <v>1</v>
      </c>
      <c r="C227">
        <v>226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5">
      <c r="A228" s="1">
        <v>0.62869483796296299</v>
      </c>
      <c r="B228" t="s">
        <v>2</v>
      </c>
      <c r="C228">
        <v>227</v>
      </c>
      <c r="D228">
        <v>0</v>
      </c>
      <c r="E228">
        <v>1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5">
      <c r="A229" s="1">
        <v>0.62869495370370365</v>
      </c>
      <c r="B229" t="s">
        <v>2</v>
      </c>
      <c r="C229">
        <v>228</v>
      </c>
      <c r="D229">
        <v>0</v>
      </c>
      <c r="E229">
        <v>1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5">
      <c r="A230" s="1">
        <v>0.62869506944444442</v>
      </c>
      <c r="B230" t="s">
        <v>2</v>
      </c>
      <c r="C230">
        <v>229</v>
      </c>
      <c r="D230">
        <v>0</v>
      </c>
      <c r="E230">
        <v>1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5">
      <c r="A231" s="1">
        <v>0.62869518518518519</v>
      </c>
      <c r="B231" t="s">
        <v>2</v>
      </c>
      <c r="C231">
        <v>230</v>
      </c>
      <c r="D231">
        <v>0</v>
      </c>
      <c r="E231">
        <v>1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5">
      <c r="A232" s="1">
        <v>0.62869530092592596</v>
      </c>
      <c r="B232" t="s">
        <v>1</v>
      </c>
      <c r="C232">
        <v>231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5">
      <c r="A233" s="1">
        <v>0.62869541666666662</v>
      </c>
      <c r="B233" t="s">
        <v>1</v>
      </c>
      <c r="C233">
        <v>232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5">
      <c r="A234" s="1">
        <v>0.62869553240740739</v>
      </c>
      <c r="B234" t="s">
        <v>1</v>
      </c>
      <c r="C234">
        <v>233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5">
      <c r="A235" s="1">
        <v>0.62869564814814816</v>
      </c>
      <c r="B235" t="s">
        <v>1</v>
      </c>
      <c r="C235">
        <v>234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5">
      <c r="A236" s="1">
        <v>0.62869576388888893</v>
      </c>
      <c r="B236" t="s">
        <v>1</v>
      </c>
      <c r="C236">
        <v>235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5">
      <c r="A237" s="1">
        <v>0.62869587962962958</v>
      </c>
      <c r="B237" t="s">
        <v>1</v>
      </c>
      <c r="C237">
        <v>236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 x14ac:dyDescent="0.25">
      <c r="A238" s="1">
        <v>0.62869599537037035</v>
      </c>
      <c r="B238" t="s">
        <v>1</v>
      </c>
      <c r="C238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5">
      <c r="A239" s="1">
        <v>0.62869611111111112</v>
      </c>
      <c r="B239" t="s">
        <v>1</v>
      </c>
      <c r="C239">
        <v>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 x14ac:dyDescent="0.25">
      <c r="A240" s="1">
        <v>0.62869622685185189</v>
      </c>
      <c r="B240" t="s">
        <v>1</v>
      </c>
      <c r="C240">
        <v>239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5">
      <c r="A241" s="1">
        <v>0.62869634259259255</v>
      </c>
      <c r="B241" t="s">
        <v>1</v>
      </c>
      <c r="C241">
        <v>240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5">
      <c r="A242" s="1">
        <v>0.62869645833333332</v>
      </c>
      <c r="B242" t="s">
        <v>1</v>
      </c>
      <c r="C242">
        <v>241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5">
      <c r="A243" s="1">
        <v>0.62869657407407409</v>
      </c>
      <c r="B243" t="s">
        <v>1</v>
      </c>
      <c r="C243">
        <v>242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1">
        <v>0.62869668981481486</v>
      </c>
      <c r="B244" t="s">
        <v>1</v>
      </c>
      <c r="C244">
        <v>243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5">
      <c r="A245" s="1">
        <v>0.62869680555555552</v>
      </c>
      <c r="B245" t="s">
        <v>1</v>
      </c>
      <c r="C245">
        <v>244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5">
      <c r="A246" s="1">
        <v>0.62869692129629628</v>
      </c>
      <c r="B246" t="s">
        <v>1</v>
      </c>
      <c r="C246">
        <v>245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5">
      <c r="A247" s="1">
        <v>0.62869703703703705</v>
      </c>
      <c r="B247" t="s">
        <v>1</v>
      </c>
      <c r="C247">
        <v>246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5">
      <c r="A248" s="1">
        <v>0.62869715277777782</v>
      </c>
      <c r="B248" t="s">
        <v>1</v>
      </c>
      <c r="C248">
        <v>247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5">
      <c r="A249" s="1">
        <v>0.62869725694444445</v>
      </c>
      <c r="B249" t="s">
        <v>1</v>
      </c>
      <c r="C249">
        <v>248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5">
      <c r="A250" s="1">
        <v>0.62869738425925925</v>
      </c>
      <c r="B250" t="s">
        <v>1</v>
      </c>
      <c r="C250">
        <v>249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5">
      <c r="A251" s="1">
        <v>0.62869750000000002</v>
      </c>
      <c r="B251" t="s">
        <v>1</v>
      </c>
      <c r="C251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5">
      <c r="A252" s="1">
        <v>0.62869761574074079</v>
      </c>
      <c r="B252" t="s">
        <v>1</v>
      </c>
      <c r="C252">
        <v>251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5">
      <c r="A253" s="1">
        <v>0.62869773148148145</v>
      </c>
      <c r="B253" t="s">
        <v>1</v>
      </c>
      <c r="C253">
        <v>252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5">
      <c r="A254" s="1">
        <v>0.62869784722222222</v>
      </c>
      <c r="B254" t="s">
        <v>1</v>
      </c>
      <c r="C254">
        <v>253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5">
      <c r="A255" s="1">
        <v>0.62869795138888884</v>
      </c>
      <c r="B255" t="s">
        <v>1</v>
      </c>
      <c r="C255">
        <v>254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5">
      <c r="A256" s="1">
        <v>0.62869807870370376</v>
      </c>
      <c r="B256" t="s">
        <v>1</v>
      </c>
      <c r="C256">
        <v>255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5">
      <c r="A257" s="1">
        <v>0.62869819444444441</v>
      </c>
      <c r="B257" t="s">
        <v>1</v>
      </c>
      <c r="C257">
        <v>256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s="1">
        <v>0.62869831018518518</v>
      </c>
      <c r="B258" t="s">
        <v>2</v>
      </c>
      <c r="C258">
        <v>257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5">
      <c r="A259" s="1">
        <v>0.62869842592592595</v>
      </c>
      <c r="B259" t="s">
        <v>2</v>
      </c>
      <c r="C259">
        <v>258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5">
      <c r="A260" s="1">
        <v>0.62869854166666672</v>
      </c>
      <c r="B260" t="s">
        <v>2</v>
      </c>
      <c r="C260">
        <v>259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5">
      <c r="A261" s="1">
        <v>0.62869864583333335</v>
      </c>
      <c r="B261" t="s">
        <v>2</v>
      </c>
      <c r="C261">
        <v>260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5">
      <c r="A262" s="1">
        <v>0.62869877314814815</v>
      </c>
      <c r="B262" t="s">
        <v>1</v>
      </c>
      <c r="C262">
        <v>261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5">
      <c r="A263" s="1">
        <v>0.62869887731481477</v>
      </c>
      <c r="B263" t="s">
        <v>1</v>
      </c>
      <c r="C263">
        <v>262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5">
      <c r="A264" s="1">
        <v>0.62869899305555554</v>
      </c>
      <c r="B264" t="s">
        <v>1</v>
      </c>
      <c r="C264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s="1">
        <v>0.62869912037037035</v>
      </c>
      <c r="B265" t="s">
        <v>1</v>
      </c>
      <c r="C265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5">
      <c r="A266" s="1">
        <v>0.62869923611111111</v>
      </c>
      <c r="B266" t="s">
        <v>1</v>
      </c>
      <c r="C266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5">
      <c r="A267" s="1">
        <v>0.62869934027777774</v>
      </c>
      <c r="B267" t="s">
        <v>1</v>
      </c>
      <c r="C267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5">
      <c r="A268" s="1">
        <v>0.62869945601851851</v>
      </c>
      <c r="B268" t="s">
        <v>1</v>
      </c>
      <c r="C268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5">
      <c r="A269" s="1">
        <v>0.62869957175925928</v>
      </c>
      <c r="B269" t="s">
        <v>1</v>
      </c>
      <c r="C269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5">
      <c r="A270" s="1">
        <v>0.62869968750000005</v>
      </c>
      <c r="B270" t="s">
        <v>1</v>
      </c>
      <c r="C270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5">
      <c r="A271" s="1">
        <v>0.62869981481481485</v>
      </c>
      <c r="B271" t="s">
        <v>1</v>
      </c>
      <c r="C271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5">
      <c r="A272" s="1">
        <v>0.62869991898148148</v>
      </c>
      <c r="B272" t="s">
        <v>1</v>
      </c>
      <c r="C272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5">
      <c r="A273" s="1">
        <v>0.62870003472222225</v>
      </c>
      <c r="B273" t="s">
        <v>1</v>
      </c>
      <c r="C273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5">
      <c r="A274" s="1">
        <v>0.62870015046296301</v>
      </c>
      <c r="B274" t="s">
        <v>1</v>
      </c>
      <c r="C274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 x14ac:dyDescent="0.25">
      <c r="A275" s="1">
        <v>0.62870026620370367</v>
      </c>
      <c r="B275" t="s">
        <v>1</v>
      </c>
      <c r="C275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5">
      <c r="A276" s="1">
        <v>0.62870038194444444</v>
      </c>
      <c r="B276" t="s">
        <v>1</v>
      </c>
      <c r="C276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5">
      <c r="A277" s="1">
        <v>0.62870049768518521</v>
      </c>
      <c r="B277" t="s">
        <v>1</v>
      </c>
      <c r="C277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5">
      <c r="A278" s="1">
        <v>0.62870061342592598</v>
      </c>
      <c r="B278" t="s">
        <v>1</v>
      </c>
      <c r="C278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5">
      <c r="A279" s="1">
        <v>0.62870072916666664</v>
      </c>
      <c r="B279" t="s">
        <v>1</v>
      </c>
      <c r="C279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5">
      <c r="A280" s="1">
        <v>0.62870084490740741</v>
      </c>
      <c r="B280" t="s">
        <v>1</v>
      </c>
      <c r="C280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5">
      <c r="A281" s="1">
        <v>0.62870096064814818</v>
      </c>
      <c r="B281" t="s">
        <v>1</v>
      </c>
      <c r="C281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5">
      <c r="A282" s="1">
        <v>0.62870107638888884</v>
      </c>
      <c r="B282" t="s">
        <v>1</v>
      </c>
      <c r="C282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5">
      <c r="A283" s="1">
        <v>0.6287011921296296</v>
      </c>
      <c r="B283" t="s">
        <v>1</v>
      </c>
      <c r="C283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5">
      <c r="A284" s="1">
        <v>0.62870130787037037</v>
      </c>
      <c r="B284" t="s">
        <v>1</v>
      </c>
      <c r="C284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5">
      <c r="A285" s="1">
        <v>0.6287015393518518</v>
      </c>
      <c r="B285" t="s">
        <v>1</v>
      </c>
      <c r="C285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5">
      <c r="A286" s="1">
        <v>0.62870165509259257</v>
      </c>
      <c r="B286" t="s">
        <v>1</v>
      </c>
      <c r="C286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5">
      <c r="A287" s="1">
        <v>0.62870177083333334</v>
      </c>
      <c r="B287" t="s">
        <v>2</v>
      </c>
      <c r="C287">
        <v>286</v>
      </c>
      <c r="D287">
        <v>0</v>
      </c>
      <c r="E287">
        <v>1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5">
      <c r="A288" s="1">
        <v>0.62870188657407411</v>
      </c>
      <c r="B288" t="s">
        <v>2</v>
      </c>
      <c r="C288">
        <v>287</v>
      </c>
      <c r="D288">
        <v>0</v>
      </c>
      <c r="E288">
        <v>1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5">
      <c r="A289" s="1">
        <v>0.62870200231481477</v>
      </c>
      <c r="B289" t="s">
        <v>2</v>
      </c>
      <c r="C289">
        <v>288</v>
      </c>
      <c r="D289">
        <v>0</v>
      </c>
      <c r="E289">
        <v>1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5">
      <c r="A290" s="1">
        <v>0.62870211805555554</v>
      </c>
      <c r="B290" t="s">
        <v>2</v>
      </c>
      <c r="C290">
        <v>289</v>
      </c>
      <c r="D290">
        <v>0</v>
      </c>
      <c r="E290">
        <v>1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5">
      <c r="A291" s="1">
        <v>0.62870223379629631</v>
      </c>
      <c r="B291" t="s">
        <v>1</v>
      </c>
      <c r="C291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5">
      <c r="A292" s="1">
        <v>0.62870234953703708</v>
      </c>
      <c r="B292" t="s">
        <v>1</v>
      </c>
      <c r="C292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5">
      <c r="A293" s="1">
        <v>0.62870246527777773</v>
      </c>
      <c r="B293" t="s">
        <v>1</v>
      </c>
      <c r="C293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5">
      <c r="A294" s="1">
        <v>0.6287025810185185</v>
      </c>
      <c r="B294" t="s">
        <v>1</v>
      </c>
      <c r="C294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5">
      <c r="A295" s="1">
        <v>0.62870269675925927</v>
      </c>
      <c r="B295" t="s">
        <v>1</v>
      </c>
      <c r="C295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5">
      <c r="A296" s="1">
        <v>0.62870281250000004</v>
      </c>
      <c r="B296" t="s">
        <v>1</v>
      </c>
      <c r="C296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5">
      <c r="A297" s="1">
        <v>0.6287029282407407</v>
      </c>
      <c r="B297" t="s">
        <v>1</v>
      </c>
      <c r="C297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5">
      <c r="A298" s="1">
        <v>0.62870304398148147</v>
      </c>
      <c r="B298" t="s">
        <v>1</v>
      </c>
      <c r="C298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1">
        <v>0.62870315972222224</v>
      </c>
      <c r="B299" t="s">
        <v>1</v>
      </c>
      <c r="C299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5">
      <c r="A300" s="1">
        <v>0.62870327546296301</v>
      </c>
      <c r="B300" t="s">
        <v>1</v>
      </c>
      <c r="C300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5">
      <c r="A301" s="1">
        <v>0.62870339120370367</v>
      </c>
      <c r="B301" t="s">
        <v>1</v>
      </c>
      <c r="C301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5">
      <c r="A302" s="1">
        <v>0.62870350694444443</v>
      </c>
      <c r="B302" t="s">
        <v>1</v>
      </c>
      <c r="C302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5">
      <c r="A303" s="1">
        <v>0.6287036226851852</v>
      </c>
      <c r="B303" t="s">
        <v>1</v>
      </c>
      <c r="C303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 x14ac:dyDescent="0.25">
      <c r="A304" s="1">
        <v>0.62870373842592597</v>
      </c>
      <c r="B304" t="s">
        <v>1</v>
      </c>
      <c r="C304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5">
      <c r="A305" s="1">
        <v>0.62870385416666663</v>
      </c>
      <c r="B305" t="s">
        <v>1</v>
      </c>
      <c r="C305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5">
      <c r="A306" s="1">
        <v>0.6287039699074074</v>
      </c>
      <c r="B306" t="s">
        <v>1</v>
      </c>
      <c r="C306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5">
      <c r="A307" s="1">
        <v>0.62870408564814817</v>
      </c>
      <c r="B307" t="s">
        <v>1</v>
      </c>
      <c r="C307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5">
      <c r="A308" s="1">
        <v>0.62870420138888894</v>
      </c>
      <c r="B308" t="s">
        <v>1</v>
      </c>
      <c r="C308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5">
      <c r="A309" s="1">
        <v>0.6287043171296296</v>
      </c>
      <c r="B309" t="s">
        <v>1</v>
      </c>
      <c r="C309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5">
      <c r="A310" s="1">
        <v>0.62870443287037037</v>
      </c>
      <c r="B310" t="s">
        <v>1</v>
      </c>
      <c r="C310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5">
      <c r="A311" s="1">
        <v>0.62870453703703699</v>
      </c>
      <c r="B311" t="s">
        <v>1</v>
      </c>
      <c r="C311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5">
      <c r="A312" s="1">
        <v>0.62870466435185191</v>
      </c>
      <c r="B312" t="s">
        <v>1</v>
      </c>
      <c r="C312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5">
      <c r="A313" s="1">
        <v>0.62870478009259256</v>
      </c>
      <c r="B313" t="s">
        <v>1</v>
      </c>
      <c r="C313">
        <v>312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5">
      <c r="A314" s="1">
        <v>0.62870489583333333</v>
      </c>
      <c r="B314" t="s">
        <v>1</v>
      </c>
      <c r="C314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5">
      <c r="A315" s="1">
        <v>0.6287050115740741</v>
      </c>
      <c r="B315" t="s">
        <v>1</v>
      </c>
      <c r="C315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5">
      <c r="A316" s="1">
        <v>0.62870512731481476</v>
      </c>
      <c r="B316" t="s">
        <v>1</v>
      </c>
      <c r="C316">
        <v>315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5">
      <c r="A317" s="1">
        <v>0.6287052314814815</v>
      </c>
      <c r="B317" t="s">
        <v>2</v>
      </c>
      <c r="C317">
        <v>316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5">
      <c r="A318" s="1">
        <v>0.62870534722222227</v>
      </c>
      <c r="B318" t="s">
        <v>2</v>
      </c>
      <c r="C318">
        <v>317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5">
      <c r="A319" s="1">
        <v>0.62870546296296292</v>
      </c>
      <c r="B319" t="s">
        <v>2</v>
      </c>
      <c r="C319">
        <v>318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5">
      <c r="A320" s="1">
        <v>0.62870557870370369</v>
      </c>
      <c r="B320" t="s">
        <v>2</v>
      </c>
      <c r="C320">
        <v>319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5">
      <c r="A321" s="1">
        <v>0.62870569444444446</v>
      </c>
      <c r="B321" t="s">
        <v>1</v>
      </c>
      <c r="C321">
        <v>320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5">
      <c r="A322" s="1">
        <v>0.62870582175925926</v>
      </c>
      <c r="B322" t="s">
        <v>1</v>
      </c>
      <c r="C322">
        <v>321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5">
      <c r="A323" s="1">
        <v>0.62870592592592589</v>
      </c>
      <c r="B323" t="s">
        <v>1</v>
      </c>
      <c r="C323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5">
      <c r="A324" s="1">
        <v>0.62870604166666666</v>
      </c>
      <c r="B324" t="s">
        <v>1</v>
      </c>
      <c r="C324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5">
      <c r="A325" s="1">
        <v>0.62870615740740743</v>
      </c>
      <c r="B325" t="s">
        <v>1</v>
      </c>
      <c r="C325">
        <v>324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5">
      <c r="A326" s="1">
        <v>0.6287062731481482</v>
      </c>
      <c r="B326" t="s">
        <v>1</v>
      </c>
      <c r="C326">
        <v>325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5">
      <c r="A327" s="1">
        <v>0.62870638888888886</v>
      </c>
      <c r="B327" t="s">
        <v>1</v>
      </c>
      <c r="C327">
        <v>326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5">
      <c r="A328" s="1">
        <v>0.62870650462962963</v>
      </c>
      <c r="B328" t="s">
        <v>1</v>
      </c>
      <c r="C328">
        <v>327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5">
      <c r="A329" s="1">
        <v>0.62870662037037039</v>
      </c>
      <c r="B329" t="s">
        <v>1</v>
      </c>
      <c r="C329">
        <v>328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5">
      <c r="A330" s="1">
        <v>0.62870673611111116</v>
      </c>
      <c r="B330" t="s">
        <v>1</v>
      </c>
      <c r="C330">
        <v>329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1">
        <v>0.62870685185185182</v>
      </c>
      <c r="B331" t="s">
        <v>1</v>
      </c>
      <c r="C331">
        <v>330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5">
      <c r="A332" s="1">
        <v>0.62870696759259259</v>
      </c>
      <c r="B332" t="s">
        <v>1</v>
      </c>
      <c r="C332">
        <v>331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5">
      <c r="A333" s="1">
        <v>0.62870708333333336</v>
      </c>
      <c r="B333" t="s">
        <v>1</v>
      </c>
      <c r="C333">
        <v>332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5">
      <c r="A334" s="1">
        <v>0.62870719907407402</v>
      </c>
      <c r="B334" t="s">
        <v>1</v>
      </c>
      <c r="C334">
        <v>333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5">
      <c r="A335" s="1">
        <v>0.62870731481481479</v>
      </c>
      <c r="B335" t="s">
        <v>1</v>
      </c>
      <c r="C335">
        <v>334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5">
      <c r="A336" s="1">
        <v>0.62870743055555556</v>
      </c>
      <c r="B336" t="s">
        <v>1</v>
      </c>
      <c r="C336">
        <v>335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5">
      <c r="A337" s="1">
        <v>0.62870754629629633</v>
      </c>
      <c r="B337" t="s">
        <v>1</v>
      </c>
      <c r="C337">
        <v>336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5">
      <c r="A338" s="1">
        <v>0.62870766203703699</v>
      </c>
      <c r="B338" t="s">
        <v>1</v>
      </c>
      <c r="C338">
        <v>337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5">
      <c r="A339" s="1">
        <v>0.62870777777777775</v>
      </c>
      <c r="B339" t="s">
        <v>1</v>
      </c>
      <c r="C339">
        <v>338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5">
      <c r="A340" s="1">
        <v>0.62870789351851852</v>
      </c>
      <c r="B340" t="s">
        <v>1</v>
      </c>
      <c r="C340">
        <v>339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5">
      <c r="A341" s="1">
        <v>0.62870800925925929</v>
      </c>
      <c r="B341" t="s">
        <v>1</v>
      </c>
      <c r="C341">
        <v>340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5">
      <c r="A342" s="1">
        <v>0.62870812499999995</v>
      </c>
      <c r="B342" t="s">
        <v>1</v>
      </c>
      <c r="C342">
        <v>341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1">
        <v>0.62870824074074072</v>
      </c>
      <c r="B343" t="s">
        <v>1</v>
      </c>
      <c r="C343">
        <v>342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5">
      <c r="A344" s="1">
        <v>0.62870835648148149</v>
      </c>
      <c r="B344" t="s">
        <v>1</v>
      </c>
      <c r="C344">
        <v>343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5">
      <c r="A345" s="1">
        <v>0.62870847222222226</v>
      </c>
      <c r="B345" t="s">
        <v>1</v>
      </c>
      <c r="C345">
        <v>344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5">
      <c r="A346" s="1">
        <v>0.62870858796296292</v>
      </c>
      <c r="B346" t="s">
        <v>1</v>
      </c>
      <c r="C346">
        <v>345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5">
      <c r="A347" s="1">
        <v>0.62870870370370369</v>
      </c>
      <c r="B347" t="s">
        <v>1</v>
      </c>
      <c r="C347">
        <v>346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5">
      <c r="A348" s="1">
        <v>0.62870881944444446</v>
      </c>
      <c r="B348" t="s">
        <v>2</v>
      </c>
      <c r="C348">
        <v>347</v>
      </c>
      <c r="D348">
        <v>0</v>
      </c>
      <c r="E348">
        <v>1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5">
      <c r="A349" s="1">
        <v>0.62870893518518522</v>
      </c>
      <c r="B349" t="s">
        <v>2</v>
      </c>
      <c r="C349">
        <v>348</v>
      </c>
      <c r="D349">
        <v>0</v>
      </c>
      <c r="E349">
        <v>1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5">
      <c r="A350" s="1">
        <v>0.62870905092592588</v>
      </c>
      <c r="B350" t="s">
        <v>2</v>
      </c>
      <c r="C350">
        <v>349</v>
      </c>
      <c r="D350">
        <v>0</v>
      </c>
      <c r="E350">
        <v>1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5">
      <c r="A351" s="1">
        <v>0.62870916666666665</v>
      </c>
      <c r="B351" t="s">
        <v>1</v>
      </c>
      <c r="C351">
        <v>350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 x14ac:dyDescent="0.25">
      <c r="A352" s="1">
        <v>0.62870928240740742</v>
      </c>
      <c r="B352" t="s">
        <v>1</v>
      </c>
      <c r="C352">
        <v>351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5">
      <c r="A353" s="1">
        <v>0.62870939814814819</v>
      </c>
      <c r="B353" t="s">
        <v>1</v>
      </c>
      <c r="C353">
        <v>352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5">
      <c r="A354" s="1">
        <v>0.62870951388888885</v>
      </c>
      <c r="B354" t="s">
        <v>1</v>
      </c>
      <c r="C354">
        <v>353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5">
      <c r="A355" s="1">
        <v>0.62870962962962962</v>
      </c>
      <c r="B355" t="s">
        <v>1</v>
      </c>
      <c r="C355">
        <v>354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5">
      <c r="A356" s="1">
        <v>0.62870974537037039</v>
      </c>
      <c r="B356" t="s">
        <v>1</v>
      </c>
      <c r="C356">
        <v>355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5">
      <c r="A357" s="1">
        <v>0.62870986111111116</v>
      </c>
      <c r="B357" t="s">
        <v>1</v>
      </c>
      <c r="C357">
        <v>356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5">
      <c r="A358" s="1">
        <v>0.62870997685185182</v>
      </c>
      <c r="B358" t="s">
        <v>1</v>
      </c>
      <c r="C358">
        <v>357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5">
      <c r="A359" s="1">
        <v>0.62871009259259258</v>
      </c>
      <c r="B359" t="s">
        <v>1</v>
      </c>
      <c r="C359">
        <v>358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5">
      <c r="A360" s="1">
        <v>0.62871020833333335</v>
      </c>
      <c r="B360" t="s">
        <v>1</v>
      </c>
      <c r="C360">
        <v>359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 x14ac:dyDescent="0.25">
      <c r="A361" s="1">
        <v>0.62871032407407412</v>
      </c>
      <c r="B361" t="s">
        <v>1</v>
      </c>
      <c r="C361">
        <v>360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5">
      <c r="A362" s="1">
        <v>0.62871043981481478</v>
      </c>
      <c r="B362" t="s">
        <v>1</v>
      </c>
      <c r="C362">
        <v>361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5">
      <c r="A363" s="1">
        <v>0.62871055555555555</v>
      </c>
      <c r="B363" t="s">
        <v>1</v>
      </c>
      <c r="C363">
        <v>362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5">
      <c r="A364" s="1">
        <v>0.62871067129629632</v>
      </c>
      <c r="B364" t="s">
        <v>1</v>
      </c>
      <c r="C364">
        <v>363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5">
      <c r="A365" s="1">
        <v>0.62871078703703709</v>
      </c>
      <c r="B365" t="s">
        <v>1</v>
      </c>
      <c r="C365">
        <v>364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5">
      <c r="A366" s="1">
        <v>0.62871090277777775</v>
      </c>
      <c r="B366" t="s">
        <v>1</v>
      </c>
      <c r="C366">
        <v>365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5">
      <c r="A367" s="1">
        <v>0.62871101851851852</v>
      </c>
      <c r="B367" t="s">
        <v>1</v>
      </c>
      <c r="C367">
        <v>366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5">
      <c r="A368" s="1">
        <v>0.62871113425925929</v>
      </c>
      <c r="B368" t="s">
        <v>1</v>
      </c>
      <c r="C368">
        <v>367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5">
      <c r="A369" s="1">
        <v>0.62871125000000005</v>
      </c>
      <c r="B369" t="s">
        <v>1</v>
      </c>
      <c r="C369">
        <v>368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5">
      <c r="A370" s="1">
        <v>0.62871136574074071</v>
      </c>
      <c r="B370" t="s">
        <v>1</v>
      </c>
      <c r="C370">
        <v>369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5">
      <c r="A371" s="1">
        <v>0.62871148148148148</v>
      </c>
      <c r="B371" t="s">
        <v>1</v>
      </c>
      <c r="C371">
        <v>370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5">
      <c r="A372" s="1">
        <v>0.62871159722222225</v>
      </c>
      <c r="B372" t="s">
        <v>1</v>
      </c>
      <c r="C372">
        <v>371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5">
      <c r="A373" s="1">
        <v>0.62871171296296291</v>
      </c>
      <c r="B373" t="s">
        <v>1</v>
      </c>
      <c r="C373">
        <v>372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</row>
    <row r="374" spans="1:19" x14ac:dyDescent="0.25">
      <c r="A374" s="1">
        <v>0.62871182870370368</v>
      </c>
      <c r="B374" t="s">
        <v>1</v>
      </c>
      <c r="C374">
        <v>373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5">
      <c r="A375" s="1">
        <v>0.62871194444444445</v>
      </c>
      <c r="B375" t="s">
        <v>1</v>
      </c>
      <c r="C375">
        <v>374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5">
      <c r="A376" s="1">
        <v>0.62871206018518522</v>
      </c>
      <c r="B376" t="s">
        <v>1</v>
      </c>
      <c r="C376">
        <v>375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5">
      <c r="A377" s="1">
        <v>0.62871217592592588</v>
      </c>
      <c r="B377" t="s">
        <v>2</v>
      </c>
      <c r="C377">
        <v>376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5">
      <c r="A378" s="1">
        <v>0.62871229166666665</v>
      </c>
      <c r="B378" t="s">
        <v>2</v>
      </c>
      <c r="C378">
        <v>377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1">
        <v>0.62871239583333338</v>
      </c>
      <c r="B379" t="s">
        <v>2</v>
      </c>
      <c r="C379">
        <v>378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1">
        <v>0.62871252314814818</v>
      </c>
      <c r="B380" t="s">
        <v>2</v>
      </c>
      <c r="C380">
        <v>379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5">
      <c r="A381" s="1">
        <v>0.62871262731481481</v>
      </c>
      <c r="B381" t="s">
        <v>1</v>
      </c>
      <c r="C381">
        <v>380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5">
      <c r="A382" s="1">
        <v>0.62871275462962961</v>
      </c>
      <c r="B382" t="s">
        <v>1</v>
      </c>
      <c r="C382">
        <v>381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5">
      <c r="A383" s="1">
        <v>0.62871285879629635</v>
      </c>
      <c r="B383" t="s">
        <v>1</v>
      </c>
      <c r="C383">
        <v>382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5">
      <c r="A384" s="1">
        <v>0.62871309027777778</v>
      </c>
      <c r="B384" t="s">
        <v>1</v>
      </c>
      <c r="C384">
        <v>383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5">
      <c r="A385" s="1">
        <v>0.62871320601851854</v>
      </c>
      <c r="B385" t="s">
        <v>1</v>
      </c>
      <c r="C385">
        <v>384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5">
      <c r="A386" s="1">
        <v>0.62871332175925931</v>
      </c>
      <c r="B386" t="s">
        <v>1</v>
      </c>
      <c r="C386">
        <v>385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5">
      <c r="A387" s="1">
        <v>0.62871343749999997</v>
      </c>
      <c r="B387" t="s">
        <v>1</v>
      </c>
      <c r="C387">
        <v>386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5">
      <c r="A388" s="1">
        <v>0.62871356481481477</v>
      </c>
      <c r="B388" t="s">
        <v>1</v>
      </c>
      <c r="C388">
        <v>387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5">
      <c r="A389" s="1">
        <v>0.62871368055555554</v>
      </c>
      <c r="B389" t="s">
        <v>1</v>
      </c>
      <c r="C389">
        <v>388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5">
      <c r="A390" s="1">
        <v>0.62871378472222217</v>
      </c>
      <c r="B390" t="s">
        <v>1</v>
      </c>
      <c r="C390">
        <v>389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5">
      <c r="A391" s="1">
        <v>0.62871390046296294</v>
      </c>
      <c r="B391" t="s">
        <v>1</v>
      </c>
      <c r="C391">
        <v>390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5">
      <c r="A392" s="1">
        <v>0.62871401620370371</v>
      </c>
      <c r="B392" t="s">
        <v>1</v>
      </c>
      <c r="C392">
        <v>391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5">
      <c r="A393" s="1">
        <v>0.62871414351851851</v>
      </c>
      <c r="B393" t="s">
        <v>1</v>
      </c>
      <c r="C393">
        <v>392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5">
      <c r="A394" s="1">
        <v>0.62871424768518513</v>
      </c>
      <c r="B394" t="s">
        <v>1</v>
      </c>
      <c r="C394">
        <v>393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5">
      <c r="A395" s="1">
        <v>0.6287143634259259</v>
      </c>
      <c r="B395" t="s">
        <v>1</v>
      </c>
      <c r="C395">
        <v>394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5">
      <c r="A396" s="1">
        <v>0.62871447916666667</v>
      </c>
      <c r="B396" t="s">
        <v>1</v>
      </c>
      <c r="C396">
        <v>395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5">
      <c r="A397" s="1">
        <v>0.62871459490740744</v>
      </c>
      <c r="B397" t="s">
        <v>1</v>
      </c>
      <c r="C397">
        <v>396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5">
      <c r="A398" s="1">
        <v>0.6287147106481481</v>
      </c>
      <c r="B398" t="s">
        <v>1</v>
      </c>
      <c r="C398">
        <v>397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5">
      <c r="A399" s="1">
        <v>0.62871482638888887</v>
      </c>
      <c r="B399" t="s">
        <v>1</v>
      </c>
      <c r="C399">
        <v>398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5">
      <c r="A400" s="1">
        <v>0.62871494212962964</v>
      </c>
      <c r="B400" t="s">
        <v>1</v>
      </c>
      <c r="C400">
        <v>399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1">
        <v>0.62871505787037041</v>
      </c>
      <c r="B401" t="s">
        <v>1</v>
      </c>
      <c r="C401">
        <v>400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25">
      <c r="A402" s="1">
        <v>0.62871517361111107</v>
      </c>
      <c r="B402" t="s">
        <v>1</v>
      </c>
      <c r="C402">
        <v>401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5">
      <c r="A403" s="1">
        <v>0.62871528935185184</v>
      </c>
      <c r="B403" t="s">
        <v>1</v>
      </c>
      <c r="C403">
        <v>402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5">
      <c r="A404" s="1">
        <v>0.62871540509259261</v>
      </c>
      <c r="B404" t="s">
        <v>1</v>
      </c>
      <c r="C404">
        <v>403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5">
      <c r="A405" s="1">
        <v>0.62871552083333337</v>
      </c>
      <c r="B405" t="s">
        <v>1</v>
      </c>
      <c r="C405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1">
        <v>0.62871563657407403</v>
      </c>
      <c r="B406" t="s">
        <v>1</v>
      </c>
      <c r="C406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5">
      <c r="A407" s="1">
        <v>0.6287157523148148</v>
      </c>
      <c r="B407" t="s">
        <v>2</v>
      </c>
      <c r="C407">
        <v>406</v>
      </c>
      <c r="D407">
        <v>0</v>
      </c>
      <c r="E407">
        <v>1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5">
      <c r="A408" s="1">
        <v>0.62871586805555557</v>
      </c>
      <c r="B408" t="s">
        <v>2</v>
      </c>
      <c r="C408">
        <v>407</v>
      </c>
      <c r="D408">
        <v>0</v>
      </c>
      <c r="E408">
        <v>1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5">
      <c r="A409" s="1">
        <v>0.62871598379629634</v>
      </c>
      <c r="B409" t="s">
        <v>2</v>
      </c>
      <c r="C409">
        <v>408</v>
      </c>
      <c r="D409">
        <v>0</v>
      </c>
      <c r="E409">
        <v>1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5">
      <c r="A410" s="1">
        <v>0.628716099537037</v>
      </c>
      <c r="B410" t="s">
        <v>1</v>
      </c>
      <c r="C410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5">
      <c r="A411" s="1">
        <v>0.62871621527777777</v>
      </c>
      <c r="B411" t="s">
        <v>1</v>
      </c>
      <c r="C411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 s="1">
        <v>0.62871633101851854</v>
      </c>
      <c r="B412" t="s">
        <v>1</v>
      </c>
      <c r="C412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5">
      <c r="A413" s="1">
        <v>0.62871644675925931</v>
      </c>
      <c r="B413" t="s">
        <v>1</v>
      </c>
      <c r="C413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</row>
    <row r="414" spans="1:19" x14ac:dyDescent="0.25">
      <c r="A414" s="1">
        <v>0.62871656249999996</v>
      </c>
      <c r="B414" t="s">
        <v>1</v>
      </c>
      <c r="C414">
        <v>413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5">
      <c r="A415" s="1">
        <v>0.62871667824074073</v>
      </c>
      <c r="B415" t="s">
        <v>1</v>
      </c>
      <c r="C415">
        <v>414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</row>
    <row r="416" spans="1:19" x14ac:dyDescent="0.25">
      <c r="A416" s="1">
        <v>0.6287167939814815</v>
      </c>
      <c r="B416" t="s">
        <v>1</v>
      </c>
      <c r="C416">
        <v>415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5">
      <c r="A417" s="1">
        <v>0.62871690972222227</v>
      </c>
      <c r="B417" t="s">
        <v>1</v>
      </c>
      <c r="C417">
        <v>416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5">
      <c r="A418" s="1">
        <v>0.62871702546296293</v>
      </c>
      <c r="B418" t="s">
        <v>1</v>
      </c>
      <c r="C418">
        <v>417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5">
      <c r="A419" s="1">
        <v>0.6287171412037037</v>
      </c>
      <c r="B419" t="s">
        <v>1</v>
      </c>
      <c r="C419">
        <v>418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5">
      <c r="A420" s="1">
        <v>0.62871725694444447</v>
      </c>
      <c r="B420" t="s">
        <v>1</v>
      </c>
      <c r="C420">
        <v>419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5">
      <c r="A421" s="1">
        <v>0.62871737268518524</v>
      </c>
      <c r="B421" t="s">
        <v>1</v>
      </c>
      <c r="C421">
        <v>420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</row>
    <row r="422" spans="1:19" x14ac:dyDescent="0.25">
      <c r="A422" s="1">
        <v>0.6287174884259259</v>
      </c>
      <c r="B422" t="s">
        <v>1</v>
      </c>
      <c r="C422">
        <v>421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</row>
    <row r="423" spans="1:19" x14ac:dyDescent="0.25">
      <c r="A423" s="1">
        <v>0.62871760416666667</v>
      </c>
      <c r="B423" t="s">
        <v>1</v>
      </c>
      <c r="C423">
        <v>422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5">
      <c r="A424" s="1">
        <v>0.62871771990740744</v>
      </c>
      <c r="B424" t="s">
        <v>1</v>
      </c>
      <c r="C424">
        <v>423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5">
      <c r="A425" s="1">
        <v>0.62871783564814809</v>
      </c>
      <c r="B425" t="s">
        <v>1</v>
      </c>
      <c r="C425">
        <v>424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5">
      <c r="A426" s="1">
        <v>0.62871795138888886</v>
      </c>
      <c r="B426" t="s">
        <v>1</v>
      </c>
      <c r="C426">
        <v>425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5">
      <c r="A427" s="1">
        <v>0.62871806712962963</v>
      </c>
      <c r="B427" t="s">
        <v>1</v>
      </c>
      <c r="C427">
        <v>426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5">
      <c r="A428" s="1">
        <v>0.6287181828703704</v>
      </c>
      <c r="B428" t="s">
        <v>1</v>
      </c>
      <c r="C428">
        <v>427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5">
      <c r="A429" s="1">
        <v>0.62871829861111106</v>
      </c>
      <c r="B429" t="s">
        <v>1</v>
      </c>
      <c r="C429">
        <v>428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5">
      <c r="A430" s="1">
        <v>0.62871841435185183</v>
      </c>
      <c r="B430" t="s">
        <v>1</v>
      </c>
      <c r="C430">
        <v>429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5">
      <c r="A431" s="1">
        <v>0.6287185300925926</v>
      </c>
      <c r="B431" t="s">
        <v>1</v>
      </c>
      <c r="C431">
        <v>430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5">
      <c r="A432" s="1">
        <v>0.62871864583333337</v>
      </c>
      <c r="B432" t="s">
        <v>1</v>
      </c>
      <c r="C432">
        <v>431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5">
      <c r="A433" s="1">
        <v>0.62871876157407403</v>
      </c>
      <c r="B433" t="s">
        <v>1</v>
      </c>
      <c r="C433">
        <v>432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5">
      <c r="A434" s="1">
        <v>0.62871887731481479</v>
      </c>
      <c r="B434" t="s">
        <v>1</v>
      </c>
      <c r="C434">
        <v>433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5">
      <c r="A435" s="1">
        <v>0.62871899305555556</v>
      </c>
      <c r="B435" t="s">
        <v>1</v>
      </c>
      <c r="C435">
        <v>434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5">
      <c r="A436" s="1">
        <v>0.62871909722222219</v>
      </c>
      <c r="B436" t="s">
        <v>1</v>
      </c>
      <c r="C436">
        <v>435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5">
      <c r="A437" s="1">
        <v>0.62871921296296296</v>
      </c>
      <c r="B437" t="s">
        <v>2</v>
      </c>
      <c r="C437">
        <v>436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5">
      <c r="A438" s="1">
        <v>0.62871932870370373</v>
      </c>
      <c r="B438" t="s">
        <v>2</v>
      </c>
      <c r="C438">
        <v>437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5">
      <c r="A439" s="1">
        <v>0.62871945601851853</v>
      </c>
      <c r="B439" t="s">
        <v>2</v>
      </c>
      <c r="C439">
        <v>438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 x14ac:dyDescent="0.25">
      <c r="A440" s="1">
        <v>0.62871956018518516</v>
      </c>
      <c r="B440" t="s">
        <v>1</v>
      </c>
      <c r="C440">
        <v>439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5">
      <c r="A441" s="1">
        <v>0.62871967592592592</v>
      </c>
      <c r="B441" t="s">
        <v>1</v>
      </c>
      <c r="C441">
        <v>440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5">
      <c r="A442" s="1">
        <v>0.62871979166666669</v>
      </c>
      <c r="B442" t="s">
        <v>1</v>
      </c>
      <c r="C442">
        <v>441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5">
      <c r="A443" s="1">
        <v>0.6287199189814815</v>
      </c>
      <c r="B443" t="s">
        <v>1</v>
      </c>
      <c r="C443">
        <v>442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5">
      <c r="A444" s="1">
        <v>0.62872003472222227</v>
      </c>
      <c r="B444" t="s">
        <v>1</v>
      </c>
      <c r="C444">
        <v>443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5">
      <c r="A445" s="1">
        <v>0.62872013888888889</v>
      </c>
      <c r="B445" t="s">
        <v>1</v>
      </c>
      <c r="C445">
        <v>444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5">
      <c r="A446" s="1">
        <v>0.62872026620370369</v>
      </c>
      <c r="B446" t="s">
        <v>1</v>
      </c>
      <c r="C446">
        <v>445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5">
      <c r="A447" s="1">
        <v>0.62872037037037032</v>
      </c>
      <c r="B447" t="s">
        <v>1</v>
      </c>
      <c r="C447">
        <v>446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5">
      <c r="A448" s="1">
        <v>0.62872048611111109</v>
      </c>
      <c r="B448" t="s">
        <v>1</v>
      </c>
      <c r="C448">
        <v>447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5">
      <c r="A449" s="1">
        <v>0.62872060185185186</v>
      </c>
      <c r="B449" t="s">
        <v>1</v>
      </c>
      <c r="C449">
        <v>448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5">
      <c r="A450" s="1">
        <v>0.62872071759259263</v>
      </c>
      <c r="B450" t="s">
        <v>1</v>
      </c>
      <c r="C450">
        <v>449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5">
      <c r="A451" s="1">
        <v>0.62872083333333328</v>
      </c>
      <c r="B451" t="s">
        <v>1</v>
      </c>
      <c r="C451">
        <v>450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5">
      <c r="A452" s="1">
        <v>0.62872094907407405</v>
      </c>
      <c r="B452" t="s">
        <v>1</v>
      </c>
      <c r="C452">
        <v>451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5">
      <c r="A453" s="1">
        <v>0.62872106481481482</v>
      </c>
      <c r="B453" t="s">
        <v>1</v>
      </c>
      <c r="C453">
        <v>452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</row>
    <row r="454" spans="1:19" x14ac:dyDescent="0.25">
      <c r="A454" s="1">
        <v>0.62872118055555559</v>
      </c>
      <c r="B454" t="s">
        <v>1</v>
      </c>
      <c r="C454">
        <v>453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</row>
    <row r="455" spans="1:19" x14ac:dyDescent="0.25">
      <c r="A455" s="1">
        <v>0.62872129629629625</v>
      </c>
      <c r="B455" t="s">
        <v>1</v>
      </c>
      <c r="C455">
        <v>454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5">
      <c r="A456" s="1">
        <v>0.62872141203703702</v>
      </c>
      <c r="B456" t="s">
        <v>1</v>
      </c>
      <c r="C456">
        <v>455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5">
      <c r="A457" s="1">
        <v>0.62872153935185182</v>
      </c>
      <c r="B457" t="s">
        <v>1</v>
      </c>
      <c r="C457">
        <v>456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5">
      <c r="A458" s="1">
        <v>0.62872164351851856</v>
      </c>
      <c r="B458" t="s">
        <v>1</v>
      </c>
      <c r="C458">
        <v>457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5">
      <c r="A459" s="1">
        <v>0.62872175925925922</v>
      </c>
      <c r="B459" t="s">
        <v>1</v>
      </c>
      <c r="C459">
        <v>458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5">
      <c r="A460" s="1">
        <v>0.62872187499999999</v>
      </c>
      <c r="B460" t="s">
        <v>1</v>
      </c>
      <c r="C460">
        <v>459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5">
      <c r="A461" s="1">
        <v>0.62872199074074075</v>
      </c>
      <c r="B461" t="s">
        <v>1</v>
      </c>
      <c r="C461">
        <v>460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5">
      <c r="A462" s="1">
        <v>0.62872210648148152</v>
      </c>
      <c r="B462" t="s">
        <v>1</v>
      </c>
      <c r="C462">
        <v>461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</row>
    <row r="463" spans="1:19" x14ac:dyDescent="0.25">
      <c r="A463" s="1">
        <v>0.62872222222222218</v>
      </c>
      <c r="B463" t="s">
        <v>1</v>
      </c>
      <c r="C463">
        <v>462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1">
        <v>0.62872233796296295</v>
      </c>
      <c r="B464" t="s">
        <v>1</v>
      </c>
      <c r="C464">
        <v>463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5">
      <c r="A465" s="1">
        <v>0.62872245370370372</v>
      </c>
      <c r="B465" t="s">
        <v>1</v>
      </c>
      <c r="C465">
        <v>464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5">
      <c r="A466" s="1">
        <v>0.62872256944444449</v>
      </c>
      <c r="B466" t="s">
        <v>1</v>
      </c>
      <c r="C466">
        <v>465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5">
      <c r="A467" s="1">
        <v>0.62872268518518515</v>
      </c>
      <c r="B467" t="s">
        <v>2</v>
      </c>
      <c r="C467">
        <v>466</v>
      </c>
      <c r="D467">
        <v>0</v>
      </c>
      <c r="E467">
        <v>1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</row>
    <row r="468" spans="1:19" x14ac:dyDescent="0.25">
      <c r="A468" s="1">
        <v>0.62872280092592592</v>
      </c>
      <c r="B468" t="s">
        <v>2</v>
      </c>
      <c r="C468">
        <v>467</v>
      </c>
      <c r="D468">
        <v>0</v>
      </c>
      <c r="E468">
        <v>1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5">
      <c r="A469" s="1">
        <v>0.62872291666666669</v>
      </c>
      <c r="B469" t="s">
        <v>2</v>
      </c>
      <c r="C469">
        <v>468</v>
      </c>
      <c r="D469">
        <v>0</v>
      </c>
      <c r="E469">
        <v>1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5">
      <c r="A470" s="1">
        <v>0.62872303240740746</v>
      </c>
      <c r="B470" t="s">
        <v>1</v>
      </c>
      <c r="C470">
        <v>469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</row>
    <row r="471" spans="1:19" x14ac:dyDescent="0.25">
      <c r="A471" s="1">
        <v>0.62872314814814811</v>
      </c>
      <c r="B471" t="s">
        <v>1</v>
      </c>
      <c r="C471">
        <v>470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</row>
    <row r="472" spans="1:19" x14ac:dyDescent="0.25">
      <c r="A472" s="1">
        <v>0.62872326388888888</v>
      </c>
      <c r="B472" t="s">
        <v>1</v>
      </c>
      <c r="C472">
        <v>471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5">
      <c r="A473" s="1">
        <v>0.62872337962962965</v>
      </c>
      <c r="B473" t="s">
        <v>1</v>
      </c>
      <c r="C473">
        <v>472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5">
      <c r="A474" s="1">
        <v>0.62872349537037042</v>
      </c>
      <c r="B474" t="s">
        <v>1</v>
      </c>
      <c r="C474">
        <v>473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</row>
    <row r="475" spans="1:19" x14ac:dyDescent="0.25">
      <c r="A475" s="1">
        <v>0.62872361111111108</v>
      </c>
      <c r="B475" t="s">
        <v>1</v>
      </c>
      <c r="C475">
        <v>474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5">
      <c r="A476" s="1">
        <v>0.62872372685185185</v>
      </c>
      <c r="B476" t="s">
        <v>1</v>
      </c>
      <c r="C476">
        <v>475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5">
      <c r="A477" s="1">
        <v>0.62872384259259262</v>
      </c>
      <c r="B477" t="s">
        <v>1</v>
      </c>
      <c r="C477">
        <v>476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5">
      <c r="A478" s="1">
        <v>0.62872395833333339</v>
      </c>
      <c r="B478" t="s">
        <v>1</v>
      </c>
      <c r="C478">
        <v>477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5">
      <c r="A479" s="1">
        <v>0.62872407407407405</v>
      </c>
      <c r="B479" t="s">
        <v>1</v>
      </c>
      <c r="C479">
        <v>478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5">
      <c r="A480" s="1">
        <v>0.62872418981481482</v>
      </c>
      <c r="B480" t="s">
        <v>1</v>
      </c>
      <c r="C480">
        <v>479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5">
      <c r="A481" s="1">
        <v>0.62872430555555558</v>
      </c>
      <c r="B481" t="s">
        <v>1</v>
      </c>
      <c r="C481">
        <v>480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5">
      <c r="A482" s="1">
        <v>0.62872442129629624</v>
      </c>
      <c r="B482" t="s">
        <v>1</v>
      </c>
      <c r="C482">
        <v>481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5">
      <c r="A483" s="1">
        <v>0.62872465277777778</v>
      </c>
      <c r="B483" t="s">
        <v>1</v>
      </c>
      <c r="C483">
        <v>482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5">
      <c r="A484" s="1">
        <v>0.62872476851851855</v>
      </c>
      <c r="B484" t="s">
        <v>1</v>
      </c>
      <c r="C484">
        <v>483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5">
      <c r="A485" s="1">
        <v>0.62872488425925921</v>
      </c>
      <c r="B485" t="s">
        <v>1</v>
      </c>
      <c r="C485">
        <v>484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5">
      <c r="A486" s="1">
        <v>0.62872499999999998</v>
      </c>
      <c r="B486" t="s">
        <v>1</v>
      </c>
      <c r="C486">
        <v>485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5">
      <c r="A487" s="1">
        <v>0.62872511574074075</v>
      </c>
      <c r="B487" t="s">
        <v>1</v>
      </c>
      <c r="C487">
        <v>486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5">
      <c r="A488" s="1">
        <v>0.62872523148148152</v>
      </c>
      <c r="B488" t="s">
        <v>1</v>
      </c>
      <c r="C488">
        <v>487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5">
      <c r="A489" s="1">
        <v>0.62872534722222218</v>
      </c>
      <c r="B489" t="s">
        <v>1</v>
      </c>
      <c r="C489">
        <v>488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5">
      <c r="A490" s="1">
        <v>0.62872546296296294</v>
      </c>
      <c r="B490" t="s">
        <v>1</v>
      </c>
      <c r="C490">
        <v>489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5">
      <c r="A491" s="1">
        <v>0.62872557870370371</v>
      </c>
      <c r="B491" t="s">
        <v>1</v>
      </c>
      <c r="C491">
        <v>490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</row>
    <row r="492" spans="1:19" x14ac:dyDescent="0.25">
      <c r="A492" s="1">
        <v>0.62872569444444448</v>
      </c>
      <c r="B492" t="s">
        <v>1</v>
      </c>
      <c r="C492">
        <v>491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5">
      <c r="A493" s="1">
        <v>0.62872581018518514</v>
      </c>
      <c r="B493" t="s">
        <v>1</v>
      </c>
      <c r="C493">
        <v>492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5">
      <c r="A494" s="1">
        <v>0.62872592592592591</v>
      </c>
      <c r="B494" t="s">
        <v>1</v>
      </c>
      <c r="C494">
        <v>493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5">
      <c r="A495" s="1">
        <v>0.62872604166666668</v>
      </c>
      <c r="B495" t="s">
        <v>1</v>
      </c>
      <c r="C495">
        <v>494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5">
      <c r="A496" s="1">
        <v>0.62872614583333331</v>
      </c>
      <c r="B496" t="s">
        <v>2</v>
      </c>
      <c r="C496">
        <v>495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5">
      <c r="A497" s="1">
        <v>0.62872627314814811</v>
      </c>
      <c r="B497" t="s">
        <v>2</v>
      </c>
      <c r="C497">
        <v>496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5">
      <c r="A498" s="1">
        <v>0.62872638888888888</v>
      </c>
      <c r="B498" t="s">
        <v>2</v>
      </c>
      <c r="C498">
        <v>497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5">
      <c r="A499" s="1">
        <v>0.62872650462962965</v>
      </c>
      <c r="B499" t="s">
        <v>1</v>
      </c>
      <c r="C499">
        <v>498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5">
      <c r="A500" s="1">
        <v>0.62872662037037041</v>
      </c>
      <c r="B500" t="s">
        <v>1</v>
      </c>
      <c r="C500">
        <v>499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5">
      <c r="A501" s="1">
        <v>0.62872672453703704</v>
      </c>
      <c r="B501" t="s">
        <v>1</v>
      </c>
      <c r="C501">
        <v>500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5">
      <c r="A502" s="1">
        <v>0.62872684027777781</v>
      </c>
      <c r="B502" t="s">
        <v>1</v>
      </c>
      <c r="C502">
        <v>501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5">
      <c r="A503" s="1">
        <v>0.62872695601851847</v>
      </c>
      <c r="B503" t="s">
        <v>1</v>
      </c>
      <c r="C503">
        <v>502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5">
      <c r="A504" s="1">
        <v>0.62872707175925924</v>
      </c>
      <c r="B504" t="s">
        <v>1</v>
      </c>
      <c r="C504">
        <v>503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5">
      <c r="A505" s="1">
        <v>0.62872718750000001</v>
      </c>
      <c r="B505" t="s">
        <v>1</v>
      </c>
      <c r="C505">
        <v>504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5">
      <c r="A506" s="1">
        <v>0.62872730324074078</v>
      </c>
      <c r="B506" t="s">
        <v>1</v>
      </c>
      <c r="C506">
        <v>505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5">
      <c r="A507" s="1">
        <v>0.62872741898148143</v>
      </c>
      <c r="B507" t="s">
        <v>1</v>
      </c>
      <c r="C507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5">
      <c r="A508" s="1">
        <v>0.6287275347222222</v>
      </c>
      <c r="B508" t="s">
        <v>1</v>
      </c>
      <c r="C508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</row>
    <row r="509" spans="1:19" x14ac:dyDescent="0.25">
      <c r="A509" s="1">
        <v>0.62872765046296297</v>
      </c>
      <c r="B509" t="s">
        <v>1</v>
      </c>
      <c r="C509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5">
      <c r="A510" s="1">
        <v>0.62872776620370374</v>
      </c>
      <c r="B510" t="s">
        <v>1</v>
      </c>
      <c r="C510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5">
      <c r="A511" s="1">
        <v>0.6287278819444444</v>
      </c>
      <c r="B511" t="s">
        <v>1</v>
      </c>
      <c r="C511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5">
      <c r="A512" s="1">
        <v>0.62872799768518517</v>
      </c>
      <c r="B512" t="s">
        <v>1</v>
      </c>
      <c r="C512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5">
      <c r="A513" s="1">
        <v>0.62872811342592594</v>
      </c>
      <c r="B513" t="s">
        <v>1</v>
      </c>
      <c r="C513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5">
      <c r="A514" s="1">
        <v>0.62872822916666671</v>
      </c>
      <c r="B514" t="s">
        <v>1</v>
      </c>
      <c r="C514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</row>
    <row r="515" spans="1:19" x14ac:dyDescent="0.25">
      <c r="A515" s="1">
        <v>0.62872834490740737</v>
      </c>
      <c r="B515" t="s">
        <v>1</v>
      </c>
      <c r="C515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5">
      <c r="A516" s="1">
        <v>0.62872846064814814</v>
      </c>
      <c r="B516" t="s">
        <v>1</v>
      </c>
      <c r="C516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5">
      <c r="A517" s="1">
        <v>0.6287285763888889</v>
      </c>
      <c r="B517" t="s">
        <v>1</v>
      </c>
      <c r="C517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5">
      <c r="A518" s="1">
        <v>0.62872869212962967</v>
      </c>
      <c r="B518" t="s">
        <v>1</v>
      </c>
      <c r="C518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5">
      <c r="A519" s="1">
        <v>0.62872880787037033</v>
      </c>
      <c r="B519" t="s">
        <v>1</v>
      </c>
      <c r="C519">
        <v>518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5">
      <c r="A520" s="1">
        <v>0.6287289236111111</v>
      </c>
      <c r="B520" t="s">
        <v>1</v>
      </c>
      <c r="C520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</row>
    <row r="521" spans="1:19" x14ac:dyDescent="0.25">
      <c r="A521" s="1">
        <v>0.62872903935185187</v>
      </c>
      <c r="B521" t="s">
        <v>1</v>
      </c>
      <c r="C521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5">
      <c r="A522" s="1">
        <v>0.62872915509259264</v>
      </c>
      <c r="B522" t="s">
        <v>1</v>
      </c>
      <c r="C522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5">
      <c r="A523" s="1">
        <v>0.6287292708333333</v>
      </c>
      <c r="B523" t="s">
        <v>1</v>
      </c>
      <c r="C523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5">
      <c r="A524" s="1">
        <v>0.62872938657407407</v>
      </c>
      <c r="B524" t="s">
        <v>1</v>
      </c>
      <c r="C524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</row>
    <row r="525" spans="1:19" x14ac:dyDescent="0.25">
      <c r="A525" s="1">
        <v>0.62872950231481484</v>
      </c>
      <c r="B525" t="s">
        <v>1</v>
      </c>
      <c r="C525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5">
      <c r="A526" s="1">
        <v>0.62872961805555561</v>
      </c>
      <c r="B526" t="s">
        <v>2</v>
      </c>
      <c r="C526">
        <v>525</v>
      </c>
      <c r="D526">
        <v>0</v>
      </c>
      <c r="E526">
        <v>1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5">
      <c r="A527" s="1">
        <v>0.62872973379629626</v>
      </c>
      <c r="B527" t="s">
        <v>2</v>
      </c>
      <c r="C527">
        <v>526</v>
      </c>
      <c r="D527">
        <v>0</v>
      </c>
      <c r="E527">
        <v>1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5">
      <c r="A528" s="1">
        <v>0.62872984953703703</v>
      </c>
      <c r="B528" t="s">
        <v>2</v>
      </c>
      <c r="C528">
        <v>527</v>
      </c>
      <c r="D528">
        <v>0</v>
      </c>
      <c r="E528">
        <v>1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5">
      <c r="A529" s="1">
        <v>0.6287299652777778</v>
      </c>
      <c r="B529" t="s">
        <v>1</v>
      </c>
      <c r="C529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5">
      <c r="A530" s="1">
        <v>0.62873008101851857</v>
      </c>
      <c r="B530" t="s">
        <v>1</v>
      </c>
      <c r="C530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5">
      <c r="A531" s="1">
        <v>0.62873019675925923</v>
      </c>
      <c r="B531" t="s">
        <v>1</v>
      </c>
      <c r="C531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5">
      <c r="A532" s="1">
        <v>0.6287303125</v>
      </c>
      <c r="B532" t="s">
        <v>1</v>
      </c>
      <c r="C532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5">
      <c r="A533" s="1">
        <v>0.62873042824074077</v>
      </c>
      <c r="B533" t="s">
        <v>1</v>
      </c>
      <c r="C533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</row>
    <row r="534" spans="1:19" x14ac:dyDescent="0.25">
      <c r="A534" s="1">
        <v>0.62873054398148143</v>
      </c>
      <c r="B534" t="s">
        <v>1</v>
      </c>
      <c r="C534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5">
      <c r="A535" s="1">
        <v>0.6287306597222222</v>
      </c>
      <c r="B535" t="s">
        <v>1</v>
      </c>
      <c r="C535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5">
      <c r="A536" s="1">
        <v>0.62873077546296297</v>
      </c>
      <c r="B536" t="s">
        <v>1</v>
      </c>
      <c r="C536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5">
      <c r="A537" s="1">
        <v>0.62873089120370373</v>
      </c>
      <c r="B537" t="s">
        <v>1</v>
      </c>
      <c r="C537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</row>
    <row r="538" spans="1:19" x14ac:dyDescent="0.25">
      <c r="A538" s="1">
        <v>0.62873100694444439</v>
      </c>
      <c r="B538" t="s">
        <v>1</v>
      </c>
      <c r="C538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5">
      <c r="A539" s="1">
        <v>0.62873112268518516</v>
      </c>
      <c r="B539" t="s">
        <v>1</v>
      </c>
      <c r="C539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5">
      <c r="A540" s="1">
        <v>0.62873123842592593</v>
      </c>
      <c r="B540" t="s">
        <v>1</v>
      </c>
      <c r="C540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5">
      <c r="A541" s="1">
        <v>0.6287313541666667</v>
      </c>
      <c r="B541" t="s">
        <v>1</v>
      </c>
      <c r="C541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5">
      <c r="A542" s="1">
        <v>0.62873146990740736</v>
      </c>
      <c r="B542" t="s">
        <v>1</v>
      </c>
      <c r="C542">
        <v>541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5">
      <c r="A543" s="1">
        <v>0.62873158564814813</v>
      </c>
      <c r="B543" t="s">
        <v>1</v>
      </c>
      <c r="C543">
        <v>542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5">
      <c r="A544" s="1">
        <v>0.6287317013888889</v>
      </c>
      <c r="B544" t="s">
        <v>1</v>
      </c>
      <c r="C544">
        <v>543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5">
      <c r="A545" s="1">
        <v>0.62873181712962967</v>
      </c>
      <c r="B545" t="s">
        <v>1</v>
      </c>
      <c r="C545">
        <v>544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5">
      <c r="A546" s="1">
        <v>0.62873193287037032</v>
      </c>
      <c r="B546" t="s">
        <v>1</v>
      </c>
      <c r="C546">
        <v>545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5">
      <c r="A547" s="1">
        <v>0.62873204861111109</v>
      </c>
      <c r="B547" t="s">
        <v>1</v>
      </c>
      <c r="C547">
        <v>546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</row>
    <row r="548" spans="1:19" x14ac:dyDescent="0.25">
      <c r="A548" s="1">
        <v>0.62873216435185186</v>
      </c>
      <c r="B548" t="s">
        <v>1</v>
      </c>
      <c r="C548">
        <v>547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5">
      <c r="A549" s="1">
        <v>0.62873228009259263</v>
      </c>
      <c r="B549" t="s">
        <v>1</v>
      </c>
      <c r="C549">
        <v>548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5">
      <c r="A550" s="1">
        <v>0.62873239583333329</v>
      </c>
      <c r="B550" t="s">
        <v>1</v>
      </c>
      <c r="C550">
        <v>549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5">
      <c r="A551" s="1">
        <v>0.62873251157407406</v>
      </c>
      <c r="B551" t="s">
        <v>1</v>
      </c>
      <c r="C551">
        <v>550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5">
      <c r="A552" s="1">
        <v>0.62873262731481483</v>
      </c>
      <c r="B552" t="s">
        <v>1</v>
      </c>
      <c r="C552">
        <v>551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5">
      <c r="A553" s="1">
        <v>0.6287327430555556</v>
      </c>
      <c r="B553" t="s">
        <v>1</v>
      </c>
      <c r="C553">
        <v>552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5">
      <c r="A554" s="1">
        <v>0.62873285879629626</v>
      </c>
      <c r="B554" t="s">
        <v>1</v>
      </c>
      <c r="C554">
        <v>553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5">
      <c r="A555" s="1">
        <v>0.62873297453703703</v>
      </c>
      <c r="B555" t="s">
        <v>1</v>
      </c>
      <c r="C555">
        <v>554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5">
      <c r="A556" s="1">
        <v>0.6287330902777778</v>
      </c>
      <c r="B556" t="s">
        <v>2</v>
      </c>
      <c r="C556">
        <v>555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5">
      <c r="A557" s="1">
        <v>0.62873320601851856</v>
      </c>
      <c r="B557" t="s">
        <v>2</v>
      </c>
      <c r="C557">
        <v>556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5">
      <c r="A558" s="1">
        <v>0.62873331018518519</v>
      </c>
      <c r="B558" t="s">
        <v>2</v>
      </c>
      <c r="C558">
        <v>557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5">
      <c r="A559" s="1">
        <v>0.62873342592592596</v>
      </c>
      <c r="B559" t="s">
        <v>1</v>
      </c>
      <c r="C559">
        <v>558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5">
      <c r="A560" s="1">
        <v>0.62873355324074076</v>
      </c>
      <c r="B560" t="s">
        <v>1</v>
      </c>
      <c r="C560">
        <v>559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5">
      <c r="A561" s="1">
        <v>0.62873366898148153</v>
      </c>
      <c r="B561" t="s">
        <v>1</v>
      </c>
      <c r="C561">
        <v>560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5">
      <c r="A562" s="1">
        <v>0.62873378472222219</v>
      </c>
      <c r="B562" t="s">
        <v>1</v>
      </c>
      <c r="C562">
        <v>561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</row>
    <row r="563" spans="1:19" x14ac:dyDescent="0.25">
      <c r="A563" s="1">
        <v>0.62873390046296296</v>
      </c>
      <c r="B563" t="s">
        <v>1</v>
      </c>
      <c r="C563">
        <v>562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5">
      <c r="A564" s="1">
        <v>0.62873400462962958</v>
      </c>
      <c r="B564" t="s">
        <v>1</v>
      </c>
      <c r="C564">
        <v>563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5">
      <c r="A565" s="1">
        <v>0.6287341319444445</v>
      </c>
      <c r="B565" t="s">
        <v>1</v>
      </c>
      <c r="C565">
        <v>564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5">
      <c r="A566" s="1">
        <v>0.62873423611111112</v>
      </c>
      <c r="B566" t="s">
        <v>1</v>
      </c>
      <c r="C566">
        <v>565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5">
      <c r="A567" s="1">
        <v>0.62873435185185189</v>
      </c>
      <c r="B567" t="s">
        <v>1</v>
      </c>
      <c r="C567">
        <v>566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5">
      <c r="A568" s="1">
        <v>0.62873447916666669</v>
      </c>
      <c r="B568" t="s">
        <v>1</v>
      </c>
      <c r="C568">
        <v>567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5">
      <c r="A569" s="1">
        <v>0.62873459490740746</v>
      </c>
      <c r="B569" t="s">
        <v>1</v>
      </c>
      <c r="C569">
        <v>568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5">
      <c r="A570" s="1">
        <v>0.62873469907407409</v>
      </c>
      <c r="B570" t="s">
        <v>1</v>
      </c>
      <c r="C570">
        <v>569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5">
      <c r="A571" s="1">
        <v>0.62873481481481486</v>
      </c>
      <c r="B571" t="s">
        <v>1</v>
      </c>
      <c r="C571">
        <v>570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25">
      <c r="A572" s="1">
        <v>0.62873493055555552</v>
      </c>
      <c r="B572" t="s">
        <v>1</v>
      </c>
      <c r="C572">
        <v>571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</row>
    <row r="573" spans="1:19" x14ac:dyDescent="0.25">
      <c r="A573" s="1">
        <v>0.62873504629629628</v>
      </c>
      <c r="B573" t="s">
        <v>1</v>
      </c>
      <c r="C573">
        <v>572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5">
      <c r="A574" s="1">
        <v>0.62873516203703705</v>
      </c>
      <c r="B574" t="s">
        <v>1</v>
      </c>
      <c r="C574">
        <v>573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5">
      <c r="A575" s="1">
        <v>0.62873527777777782</v>
      </c>
      <c r="B575" t="s">
        <v>1</v>
      </c>
      <c r="C575">
        <v>574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5">
      <c r="A576" s="1">
        <v>0.62873539351851848</v>
      </c>
      <c r="B576" t="s">
        <v>1</v>
      </c>
      <c r="C576">
        <v>575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5">
      <c r="A577" s="1">
        <v>0.62873550925925925</v>
      </c>
      <c r="B577" t="s">
        <v>1</v>
      </c>
      <c r="C577">
        <v>576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5">
      <c r="A578" s="1">
        <v>0.62873562500000002</v>
      </c>
      <c r="B578" t="s">
        <v>1</v>
      </c>
      <c r="C578">
        <v>577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5">
      <c r="A579" s="1">
        <v>0.62873574074074079</v>
      </c>
      <c r="B579" t="s">
        <v>1</v>
      </c>
      <c r="C579">
        <v>578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5">
      <c r="A580" s="1">
        <v>0.62873585648148145</v>
      </c>
      <c r="B580" t="s">
        <v>1</v>
      </c>
      <c r="C580">
        <v>579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5">
      <c r="A581" s="1">
        <v>0.62873597222222222</v>
      </c>
      <c r="B581" t="s">
        <v>1</v>
      </c>
      <c r="C581">
        <v>580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5">
      <c r="A582" s="1">
        <v>0.62873620370370376</v>
      </c>
      <c r="B582" t="s">
        <v>1</v>
      </c>
      <c r="C582">
        <v>581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5">
      <c r="A583" s="1">
        <v>0.62873631944444441</v>
      </c>
      <c r="B583" t="s">
        <v>1</v>
      </c>
      <c r="C583">
        <v>582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5">
      <c r="A584" s="1">
        <v>0.62873643518518518</v>
      </c>
      <c r="B584" t="s">
        <v>1</v>
      </c>
      <c r="C584">
        <v>583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5">
      <c r="A585" s="1">
        <v>0.62873655092592595</v>
      </c>
      <c r="B585" t="s">
        <v>2</v>
      </c>
      <c r="C585">
        <v>584</v>
      </c>
      <c r="D585">
        <v>0</v>
      </c>
      <c r="E585">
        <v>1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</row>
    <row r="586" spans="1:19" x14ac:dyDescent="0.25">
      <c r="A586" s="1">
        <v>0.62873666666666672</v>
      </c>
      <c r="B586" t="s">
        <v>2</v>
      </c>
      <c r="C586">
        <v>585</v>
      </c>
      <c r="D586">
        <v>0</v>
      </c>
      <c r="E586">
        <v>1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5">
      <c r="A587" s="1">
        <v>0.62873678240740738</v>
      </c>
      <c r="B587" t="s">
        <v>2</v>
      </c>
      <c r="C587">
        <v>586</v>
      </c>
      <c r="D587">
        <v>0</v>
      </c>
      <c r="E587">
        <v>1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5">
      <c r="A588" s="1">
        <v>0.62873689814814815</v>
      </c>
      <c r="B588" t="s">
        <v>1</v>
      </c>
      <c r="C588">
        <v>587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5">
      <c r="A589" s="1">
        <v>0.62873701388888892</v>
      </c>
      <c r="B589" t="s">
        <v>1</v>
      </c>
      <c r="C589">
        <v>588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5">
      <c r="A590" s="1">
        <v>0.62873712962962958</v>
      </c>
      <c r="B590" t="s">
        <v>1</v>
      </c>
      <c r="C590">
        <v>589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5">
      <c r="A591" s="1">
        <v>0.62873724537037035</v>
      </c>
      <c r="B591" t="s">
        <v>1</v>
      </c>
      <c r="C591">
        <v>590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5">
      <c r="A592" s="1">
        <v>0.62873736111111111</v>
      </c>
      <c r="B592" t="s">
        <v>1</v>
      </c>
      <c r="C592">
        <v>591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1">
        <v>0.62873747685185188</v>
      </c>
      <c r="B593" t="s">
        <v>1</v>
      </c>
      <c r="C593">
        <v>592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5">
      <c r="A594" s="1">
        <v>0.62873759259259254</v>
      </c>
      <c r="B594" t="s">
        <v>1</v>
      </c>
      <c r="C594">
        <v>593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5">
      <c r="A595" s="1">
        <v>0.62873770833333331</v>
      </c>
      <c r="B595" t="s">
        <v>1</v>
      </c>
      <c r="C595">
        <v>594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5">
      <c r="A596" s="1">
        <v>0.62873782407407408</v>
      </c>
      <c r="B596" t="s">
        <v>1</v>
      </c>
      <c r="C596">
        <v>595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5">
      <c r="A597" s="1">
        <v>0.62873793981481485</v>
      </c>
      <c r="B597" t="s">
        <v>1</v>
      </c>
      <c r="C597">
        <v>596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5">
      <c r="A598" s="1">
        <v>0.62873805555555551</v>
      </c>
      <c r="B598" t="s">
        <v>1</v>
      </c>
      <c r="C598">
        <v>597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</row>
    <row r="599" spans="1:19" x14ac:dyDescent="0.25">
      <c r="A599" s="1">
        <v>0.62873817129629628</v>
      </c>
      <c r="B599" t="s">
        <v>1</v>
      </c>
      <c r="C599">
        <v>598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5">
      <c r="A600" s="1">
        <v>0.62873828703703705</v>
      </c>
      <c r="B600" t="s">
        <v>1</v>
      </c>
      <c r="C600">
        <v>599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5">
      <c r="A601" s="1">
        <v>0.62873840277777782</v>
      </c>
      <c r="B601" t="s">
        <v>1</v>
      </c>
      <c r="C601">
        <v>600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5">
      <c r="A602" s="1">
        <v>0.62873851851851847</v>
      </c>
      <c r="B602" t="s">
        <v>1</v>
      </c>
      <c r="C602">
        <v>601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5">
      <c r="A603" s="1">
        <v>0.62873863425925924</v>
      </c>
      <c r="B603" t="s">
        <v>1</v>
      </c>
      <c r="C603">
        <v>602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5">
      <c r="A604" s="1">
        <v>0.62873875000000001</v>
      </c>
      <c r="B604" t="s">
        <v>1</v>
      </c>
      <c r="C604">
        <v>603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5">
      <c r="A605" s="1">
        <v>0.62873886574074078</v>
      </c>
      <c r="B605" t="s">
        <v>1</v>
      </c>
      <c r="C605">
        <v>604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</row>
    <row r="606" spans="1:19" x14ac:dyDescent="0.25">
      <c r="A606" s="1">
        <v>0.62873898148148144</v>
      </c>
      <c r="B606" t="s">
        <v>1</v>
      </c>
      <c r="C606">
        <v>605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5">
      <c r="A607" s="1">
        <v>0.62873909722222221</v>
      </c>
      <c r="B607" t="s">
        <v>1</v>
      </c>
      <c r="C607">
        <v>606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5">
      <c r="A608" s="1">
        <v>0.62873921296296298</v>
      </c>
      <c r="B608" t="s">
        <v>1</v>
      </c>
      <c r="C608">
        <v>607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5">
      <c r="A609" s="1">
        <v>0.62873932870370375</v>
      </c>
      <c r="B609" t="s">
        <v>1</v>
      </c>
      <c r="C609">
        <v>608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5">
      <c r="A610" s="1">
        <v>0.62873944444444441</v>
      </c>
      <c r="B610" t="s">
        <v>1</v>
      </c>
      <c r="C610">
        <v>609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5">
      <c r="A611" s="1">
        <v>0.62873956018518518</v>
      </c>
      <c r="B611" t="s">
        <v>1</v>
      </c>
      <c r="C611">
        <v>610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5">
      <c r="A612" s="1">
        <v>0.62873967592592594</v>
      </c>
      <c r="B612" t="s">
        <v>1</v>
      </c>
      <c r="C612">
        <v>611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5">
      <c r="A613" s="1">
        <v>0.62873979166666671</v>
      </c>
      <c r="B613" t="s">
        <v>1</v>
      </c>
      <c r="C613">
        <v>612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5">
      <c r="A614" s="1">
        <v>0.62873990740740737</v>
      </c>
      <c r="B614" t="s">
        <v>1</v>
      </c>
      <c r="C614">
        <v>613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5">
      <c r="A615" s="1">
        <v>0.62874002314814814</v>
      </c>
      <c r="B615" t="s">
        <v>2</v>
      </c>
      <c r="C615">
        <v>614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5">
      <c r="A616" s="1">
        <v>0.62874013888888891</v>
      </c>
      <c r="B616" t="s">
        <v>2</v>
      </c>
      <c r="C616">
        <v>615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5">
      <c r="A617" s="1">
        <v>0.62874025462962968</v>
      </c>
      <c r="B617" t="s">
        <v>2</v>
      </c>
      <c r="C617">
        <v>616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5">
      <c r="A618" s="1">
        <v>0.62874037037037034</v>
      </c>
      <c r="B618" t="s">
        <v>1</v>
      </c>
      <c r="C618">
        <v>617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 x14ac:dyDescent="0.25">
      <c r="A619" s="1">
        <v>0.62874047453703708</v>
      </c>
      <c r="B619" t="s">
        <v>1</v>
      </c>
      <c r="C619">
        <v>618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5">
      <c r="A620" s="1">
        <v>0.62874059027777773</v>
      </c>
      <c r="B620" t="s">
        <v>1</v>
      </c>
      <c r="C620">
        <v>619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5">
      <c r="A621" s="1">
        <v>0.6287407060185185</v>
      </c>
      <c r="B621" t="s">
        <v>1</v>
      </c>
      <c r="C621">
        <v>620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5">
      <c r="A622" s="1">
        <v>0.62874082175925927</v>
      </c>
      <c r="B622" t="s">
        <v>1</v>
      </c>
      <c r="C622">
        <v>621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5">
      <c r="A623" s="1">
        <v>0.62874094907407407</v>
      </c>
      <c r="B623" t="s">
        <v>1</v>
      </c>
      <c r="C623">
        <v>622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5">
      <c r="A624" s="1">
        <v>0.6287410532407407</v>
      </c>
      <c r="B624" t="s">
        <v>1</v>
      </c>
      <c r="C624">
        <v>623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</row>
    <row r="625" spans="1:19" x14ac:dyDescent="0.25">
      <c r="A625" s="1">
        <v>0.62874116898148147</v>
      </c>
      <c r="B625" t="s">
        <v>1</v>
      </c>
      <c r="C625">
        <v>624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5">
      <c r="A626" s="1">
        <v>0.62874128472222224</v>
      </c>
      <c r="B626" t="s">
        <v>1</v>
      </c>
      <c r="C626">
        <v>625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5">
      <c r="A627" s="1">
        <v>0.62874141203703704</v>
      </c>
      <c r="B627" t="s">
        <v>1</v>
      </c>
      <c r="C627">
        <v>626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5">
      <c r="A628" s="1">
        <v>0.62874151620370367</v>
      </c>
      <c r="B628" t="s">
        <v>1</v>
      </c>
      <c r="C628">
        <v>627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1:19" x14ac:dyDescent="0.25">
      <c r="A629" s="1">
        <v>0.62874163194444443</v>
      </c>
      <c r="B629" t="s">
        <v>1</v>
      </c>
      <c r="C629">
        <v>628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5">
      <c r="A630" s="1">
        <v>0.6287417476851852</v>
      </c>
      <c r="B630" t="s">
        <v>1</v>
      </c>
      <c r="C630">
        <v>629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5">
      <c r="A631" s="1">
        <v>0.62874186342592597</v>
      </c>
      <c r="B631" t="s">
        <v>1</v>
      </c>
      <c r="C631">
        <v>630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5">
      <c r="A632" s="1">
        <v>0.62874197916666663</v>
      </c>
      <c r="B632" t="s">
        <v>1</v>
      </c>
      <c r="C632">
        <v>631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5">
      <c r="A633" s="1">
        <v>0.6287420949074074</v>
      </c>
      <c r="B633" t="s">
        <v>1</v>
      </c>
      <c r="C633">
        <v>632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5">
      <c r="A634" s="1">
        <v>0.62874221064814817</v>
      </c>
      <c r="B634" t="s">
        <v>1</v>
      </c>
      <c r="C634">
        <v>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5">
      <c r="A635" s="1">
        <v>0.62874232638888894</v>
      </c>
      <c r="B635" t="s">
        <v>1</v>
      </c>
      <c r="C635">
        <v>634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5">
      <c r="A636" s="1">
        <v>0.6287424421296296</v>
      </c>
      <c r="B636" t="s">
        <v>1</v>
      </c>
      <c r="C636">
        <v>635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5">
      <c r="A637" s="1">
        <v>0.62874255787037037</v>
      </c>
      <c r="B637" t="s">
        <v>1</v>
      </c>
      <c r="C637">
        <v>636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5">
      <c r="A638" s="1">
        <v>0.62874267361111114</v>
      </c>
      <c r="B638" t="s">
        <v>1</v>
      </c>
      <c r="C638">
        <v>637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5">
      <c r="A639" s="1">
        <v>0.62874278935185191</v>
      </c>
      <c r="B639" t="s">
        <v>1</v>
      </c>
      <c r="C639">
        <v>638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5">
      <c r="A640" s="1">
        <v>0.62874290509259256</v>
      </c>
      <c r="B640" t="s">
        <v>1</v>
      </c>
      <c r="C640">
        <v>639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5">
      <c r="A641" s="1">
        <v>0.62874302083333333</v>
      </c>
      <c r="B641" t="s">
        <v>1</v>
      </c>
      <c r="C641">
        <v>640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5">
      <c r="A642" s="1">
        <v>0.6287431365740741</v>
      </c>
      <c r="B642" t="s">
        <v>1</v>
      </c>
      <c r="C642">
        <v>641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5">
      <c r="A643" s="1">
        <v>0.62874325231481476</v>
      </c>
      <c r="B643" t="s">
        <v>1</v>
      </c>
      <c r="C643">
        <v>642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5">
      <c r="A644" s="1">
        <v>0.62874336805555553</v>
      </c>
      <c r="B644" t="s">
        <v>1</v>
      </c>
      <c r="C644">
        <v>643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5">
      <c r="A645" s="1">
        <v>0.6287434837962963</v>
      </c>
      <c r="B645" t="s">
        <v>2</v>
      </c>
      <c r="C645">
        <v>644</v>
      </c>
      <c r="D645">
        <v>0</v>
      </c>
      <c r="E645">
        <v>1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5">
      <c r="A646" s="1">
        <v>0.62874359953703707</v>
      </c>
      <c r="B646" t="s">
        <v>2</v>
      </c>
      <c r="C646">
        <v>645</v>
      </c>
      <c r="D646">
        <v>0</v>
      </c>
      <c r="E646">
        <v>1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5">
      <c r="A647" s="1">
        <v>0.62874371527777773</v>
      </c>
      <c r="B647" t="s">
        <v>2</v>
      </c>
      <c r="C647">
        <v>646</v>
      </c>
      <c r="D647">
        <v>0</v>
      </c>
      <c r="E647">
        <v>1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5">
      <c r="A648" s="1">
        <v>0.6287438310185185</v>
      </c>
      <c r="B648" t="s">
        <v>2</v>
      </c>
      <c r="C648">
        <v>647</v>
      </c>
      <c r="D648">
        <v>0</v>
      </c>
      <c r="E648">
        <v>1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5">
      <c r="A649" s="1">
        <v>0.62874394675925926</v>
      </c>
      <c r="B649" t="s">
        <v>1</v>
      </c>
      <c r="C649">
        <v>648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5">
      <c r="A650" s="1">
        <v>0.62874406250000003</v>
      </c>
      <c r="B650" t="s">
        <v>1</v>
      </c>
      <c r="C650">
        <v>649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5">
      <c r="A651" s="1">
        <v>0.62874417824074069</v>
      </c>
      <c r="B651" t="s">
        <v>1</v>
      </c>
      <c r="C651">
        <v>650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</row>
    <row r="652" spans="1:19" x14ac:dyDescent="0.25">
      <c r="A652" s="1">
        <v>0.62874429398148146</v>
      </c>
      <c r="B652" t="s">
        <v>1</v>
      </c>
      <c r="C652">
        <v>651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5">
      <c r="A653" s="1">
        <v>0.62874440972222223</v>
      </c>
      <c r="B653" t="s">
        <v>1</v>
      </c>
      <c r="C653">
        <v>652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5">
      <c r="A654" s="1">
        <v>0.628744525462963</v>
      </c>
      <c r="B654" t="s">
        <v>1</v>
      </c>
      <c r="C654">
        <v>653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</row>
    <row r="655" spans="1:19" x14ac:dyDescent="0.25">
      <c r="A655" s="1">
        <v>0.62874464120370366</v>
      </c>
      <c r="B655" t="s">
        <v>1</v>
      </c>
      <c r="C655">
        <v>654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5">
      <c r="A656" s="1">
        <v>0.62874475694444443</v>
      </c>
      <c r="B656" t="s">
        <v>1</v>
      </c>
      <c r="C656">
        <v>655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5">
      <c r="A657" s="1">
        <v>0.6287448726851852</v>
      </c>
      <c r="B657" t="s">
        <v>1</v>
      </c>
      <c r="C657">
        <v>656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5">
      <c r="A658" s="1">
        <v>0.62874498842592597</v>
      </c>
      <c r="B658" t="s">
        <v>1</v>
      </c>
      <c r="C658">
        <v>657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</row>
    <row r="659" spans="1:19" x14ac:dyDescent="0.25">
      <c r="A659" s="1">
        <v>0.62874510416666662</v>
      </c>
      <c r="B659" t="s">
        <v>1</v>
      </c>
      <c r="C659">
        <v>658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5">
      <c r="A660" s="1">
        <v>0.62874521990740739</v>
      </c>
      <c r="B660" t="s">
        <v>1</v>
      </c>
      <c r="C660">
        <v>659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1">
        <v>0.62874533564814816</v>
      </c>
      <c r="B661" t="s">
        <v>1</v>
      </c>
      <c r="C661">
        <v>660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5">
      <c r="A662" s="1">
        <v>0.62874545138888893</v>
      </c>
      <c r="B662" t="s">
        <v>1</v>
      </c>
      <c r="C662">
        <v>661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5">
      <c r="A663" s="1">
        <v>0.62874556712962959</v>
      </c>
      <c r="B663" t="s">
        <v>1</v>
      </c>
      <c r="C663">
        <v>662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5">
      <c r="A664" s="1">
        <v>0.62874568287037036</v>
      </c>
      <c r="B664" t="s">
        <v>1</v>
      </c>
      <c r="C664">
        <v>663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5">
      <c r="A665" s="1">
        <v>0.62874579861111113</v>
      </c>
      <c r="B665" t="s">
        <v>1</v>
      </c>
      <c r="C665">
        <v>664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5">
      <c r="A666" s="1">
        <v>0.6287459143518519</v>
      </c>
      <c r="B666" t="s">
        <v>1</v>
      </c>
      <c r="C666">
        <v>665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5">
      <c r="A667" s="1">
        <v>0.62874603009259256</v>
      </c>
      <c r="B667" t="s">
        <v>1</v>
      </c>
      <c r="C667">
        <v>666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5">
      <c r="A668" s="1">
        <v>0.62874614583333333</v>
      </c>
      <c r="B668" t="s">
        <v>1</v>
      </c>
      <c r="C668">
        <v>667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5">
      <c r="A669" s="1">
        <v>0.62874626157407409</v>
      </c>
      <c r="B669" t="s">
        <v>1</v>
      </c>
      <c r="C669">
        <v>668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5">
      <c r="A670" s="1">
        <v>0.62874636574074072</v>
      </c>
      <c r="B670" t="s">
        <v>1</v>
      </c>
      <c r="C670">
        <v>669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5">
      <c r="A671" s="1">
        <v>0.62874649305555552</v>
      </c>
      <c r="B671" t="s">
        <v>1</v>
      </c>
      <c r="C671">
        <v>670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5">
      <c r="A672" s="1">
        <v>0.62874659722222226</v>
      </c>
      <c r="B672" t="s">
        <v>1</v>
      </c>
      <c r="C672">
        <v>671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1">
        <v>0.62874672453703706</v>
      </c>
      <c r="B673" t="s">
        <v>1</v>
      </c>
      <c r="C673">
        <v>672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5">
      <c r="A674" s="1">
        <v>0.62874684027777783</v>
      </c>
      <c r="B674" t="s">
        <v>1</v>
      </c>
      <c r="C674">
        <v>673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5">
      <c r="A675" s="1">
        <v>0.62874694444444446</v>
      </c>
      <c r="B675" t="s">
        <v>2</v>
      </c>
      <c r="C675">
        <v>674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5">
      <c r="A676" s="1">
        <v>0.62874707175925926</v>
      </c>
      <c r="B676" t="s">
        <v>2</v>
      </c>
      <c r="C676">
        <v>675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5">
      <c r="A677" s="1">
        <v>0.62874717592592588</v>
      </c>
      <c r="B677" t="s">
        <v>2</v>
      </c>
      <c r="C677">
        <v>676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5">
      <c r="A678" s="1">
        <v>0.6287473032407408</v>
      </c>
      <c r="B678" t="s">
        <v>1</v>
      </c>
      <c r="C678">
        <v>677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5">
      <c r="A679" s="1">
        <v>0.62874740740740742</v>
      </c>
      <c r="B679" t="s">
        <v>1</v>
      </c>
      <c r="C679">
        <v>678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5">
      <c r="A680" s="1">
        <v>0.62874752314814819</v>
      </c>
      <c r="B680" t="s">
        <v>1</v>
      </c>
      <c r="C680">
        <v>679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5">
      <c r="A681" s="1">
        <v>0.62874775462962962</v>
      </c>
      <c r="B681" t="s">
        <v>1</v>
      </c>
      <c r="C681">
        <v>680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5">
      <c r="A682" s="1">
        <v>0.62874788194444442</v>
      </c>
      <c r="B682" t="s">
        <v>1</v>
      </c>
      <c r="C682">
        <v>681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5">
      <c r="A683" s="1">
        <v>0.62874798611111116</v>
      </c>
      <c r="B683" t="s">
        <v>1</v>
      </c>
      <c r="C683">
        <v>682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5">
      <c r="A684" s="1">
        <v>0.62874810185185181</v>
      </c>
      <c r="B684" t="s">
        <v>1</v>
      </c>
      <c r="C684">
        <v>683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5">
      <c r="A685" s="1">
        <v>0.62874821759259258</v>
      </c>
      <c r="B685" t="s">
        <v>1</v>
      </c>
      <c r="C685">
        <v>684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5">
      <c r="A686" s="1">
        <v>0.62874833333333335</v>
      </c>
      <c r="B686" t="s">
        <v>1</v>
      </c>
      <c r="C686">
        <v>685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5">
      <c r="A687" s="1">
        <v>0.62874844907407412</v>
      </c>
      <c r="B687" t="s">
        <v>1</v>
      </c>
      <c r="C687">
        <v>686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5">
      <c r="A688" s="1">
        <v>0.62874856481481478</v>
      </c>
      <c r="B688" t="s">
        <v>1</v>
      </c>
      <c r="C688">
        <v>687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5">
      <c r="A689" s="1">
        <v>0.62874868055555555</v>
      </c>
      <c r="B689" t="s">
        <v>1</v>
      </c>
      <c r="C689">
        <v>688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</row>
    <row r="690" spans="1:19" x14ac:dyDescent="0.25">
      <c r="A690" s="1">
        <v>0.62874879629629632</v>
      </c>
      <c r="B690" t="s">
        <v>1</v>
      </c>
      <c r="C690">
        <v>689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</row>
    <row r="691" spans="1:19" x14ac:dyDescent="0.25">
      <c r="A691" s="1">
        <v>0.62874891203703709</v>
      </c>
      <c r="B691" t="s">
        <v>1</v>
      </c>
      <c r="C691">
        <v>690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5">
      <c r="A692" s="1">
        <v>0.62874902777777775</v>
      </c>
      <c r="B692" t="s">
        <v>1</v>
      </c>
      <c r="C692">
        <v>691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5">
      <c r="A693" s="1">
        <v>0.62874914351851852</v>
      </c>
      <c r="B693" t="s">
        <v>1</v>
      </c>
      <c r="C693">
        <v>692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5">
      <c r="A694" s="1">
        <v>0.62874925925925929</v>
      </c>
      <c r="B694" t="s">
        <v>1</v>
      </c>
      <c r="C694">
        <v>693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5">
      <c r="A695" s="1">
        <v>0.62874937500000005</v>
      </c>
      <c r="B695" t="s">
        <v>1</v>
      </c>
      <c r="C695">
        <v>694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5">
      <c r="A696" s="1">
        <v>0.62874949074074071</v>
      </c>
      <c r="B696" t="s">
        <v>1</v>
      </c>
      <c r="C696">
        <v>695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5">
      <c r="A697" s="1">
        <v>0.62874960648148148</v>
      </c>
      <c r="B697" t="s">
        <v>1</v>
      </c>
      <c r="C697">
        <v>696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5">
      <c r="A698" s="1">
        <v>0.62874972222222225</v>
      </c>
      <c r="B698" t="s">
        <v>1</v>
      </c>
      <c r="C698">
        <v>697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5">
      <c r="A699" s="1">
        <v>0.62874983796296291</v>
      </c>
      <c r="B699" t="s">
        <v>1</v>
      </c>
      <c r="C699">
        <v>698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</row>
    <row r="700" spans="1:19" x14ac:dyDescent="0.25">
      <c r="A700" s="1">
        <v>0.62874995370370368</v>
      </c>
      <c r="B700" t="s">
        <v>1</v>
      </c>
      <c r="C700">
        <v>699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</row>
    <row r="701" spans="1:19" x14ac:dyDescent="0.25">
      <c r="A701" s="1">
        <v>0.62875006944444445</v>
      </c>
      <c r="B701" t="s">
        <v>1</v>
      </c>
      <c r="C701">
        <v>700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5">
      <c r="A702" s="1">
        <v>0.62875018518518522</v>
      </c>
      <c r="B702" t="s">
        <v>1</v>
      </c>
      <c r="C702">
        <v>701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5">
      <c r="A703" s="1">
        <v>0.62875030092592588</v>
      </c>
      <c r="B703" t="s">
        <v>1</v>
      </c>
      <c r="C703">
        <v>702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5">
      <c r="A704" s="1">
        <v>0.62875041666666664</v>
      </c>
      <c r="B704" t="s">
        <v>2</v>
      </c>
      <c r="C704">
        <v>703</v>
      </c>
      <c r="D704">
        <v>0</v>
      </c>
      <c r="E704">
        <v>1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5">
      <c r="A705" s="1">
        <v>0.62875053240740741</v>
      </c>
      <c r="B705" t="s">
        <v>2</v>
      </c>
      <c r="C705">
        <v>704</v>
      </c>
      <c r="D705">
        <v>0</v>
      </c>
      <c r="E705">
        <v>1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5">
      <c r="A706" s="1">
        <v>0.62875064814814818</v>
      </c>
      <c r="B706" t="s">
        <v>2</v>
      </c>
      <c r="C706">
        <v>705</v>
      </c>
      <c r="D706">
        <v>0</v>
      </c>
      <c r="E706">
        <v>1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5">
      <c r="A707" s="1">
        <v>0.62875076388888884</v>
      </c>
      <c r="B707" t="s">
        <v>2</v>
      </c>
      <c r="C707">
        <v>706</v>
      </c>
      <c r="D707">
        <v>0</v>
      </c>
      <c r="E707">
        <v>1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5">
      <c r="A708" s="1">
        <v>0.62875087962962961</v>
      </c>
      <c r="B708" t="s">
        <v>1</v>
      </c>
      <c r="C708">
        <v>707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 x14ac:dyDescent="0.25">
      <c r="A709" s="1">
        <v>0.62875099537037038</v>
      </c>
      <c r="B709" t="s">
        <v>1</v>
      </c>
      <c r="C709">
        <v>708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5">
      <c r="A710" s="1">
        <v>0.62875111111111115</v>
      </c>
      <c r="B710" t="s">
        <v>1</v>
      </c>
      <c r="C710">
        <v>709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5">
      <c r="A711" s="1">
        <v>0.62875122685185181</v>
      </c>
      <c r="B711" t="s">
        <v>1</v>
      </c>
      <c r="C711">
        <v>710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1">
        <v>0.62875134259259258</v>
      </c>
      <c r="B712" t="s">
        <v>1</v>
      </c>
      <c r="C712">
        <v>711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5">
      <c r="A713" s="1">
        <v>0.62875145833333335</v>
      </c>
      <c r="B713" t="s">
        <v>1</v>
      </c>
      <c r="C713">
        <v>712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5">
      <c r="A714" s="1">
        <v>0.62875157407407412</v>
      </c>
      <c r="B714" t="s">
        <v>1</v>
      </c>
      <c r="C714">
        <v>713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5">
      <c r="A715" s="1">
        <v>0.62875168981481477</v>
      </c>
      <c r="B715" t="s">
        <v>1</v>
      </c>
      <c r="C715">
        <v>714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5">
      <c r="A716" s="1">
        <v>0.62875180555555554</v>
      </c>
      <c r="B716" t="s">
        <v>1</v>
      </c>
      <c r="C716">
        <v>715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5">
      <c r="A717" s="1">
        <v>0.62875192129629631</v>
      </c>
      <c r="B717" t="s">
        <v>1</v>
      </c>
      <c r="C717">
        <v>716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5">
      <c r="A718" s="1">
        <v>0.62875203703703708</v>
      </c>
      <c r="B718" t="s">
        <v>1</v>
      </c>
      <c r="C718">
        <v>717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5">
      <c r="A719" s="1">
        <v>0.62875215277777774</v>
      </c>
      <c r="B719" t="s">
        <v>1</v>
      </c>
      <c r="C719">
        <v>718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5">
      <c r="A720" s="1">
        <v>0.62875226851851851</v>
      </c>
      <c r="B720" t="s">
        <v>1</v>
      </c>
      <c r="C720">
        <v>719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5">
      <c r="A721" s="1">
        <v>0.62875238425925928</v>
      </c>
      <c r="B721" t="s">
        <v>1</v>
      </c>
      <c r="C721">
        <v>720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5">
      <c r="A722" s="1">
        <v>0.62875251157407408</v>
      </c>
      <c r="B722" t="s">
        <v>1</v>
      </c>
      <c r="C722">
        <v>721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5">
      <c r="A723" s="1">
        <v>0.62875261574074071</v>
      </c>
      <c r="B723" t="s">
        <v>1</v>
      </c>
      <c r="C723">
        <v>722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5">
      <c r="A724" s="1">
        <v>0.62875273148148147</v>
      </c>
      <c r="B724" t="s">
        <v>1</v>
      </c>
      <c r="C724">
        <v>723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1">
        <v>0.62875284722222224</v>
      </c>
      <c r="B725" t="s">
        <v>1</v>
      </c>
      <c r="C725">
        <v>724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5">
      <c r="A726" s="1">
        <v>0.62875296296296301</v>
      </c>
      <c r="B726" t="s">
        <v>1</v>
      </c>
      <c r="C726">
        <v>725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5">
      <c r="A727" s="1">
        <v>0.62875307870370367</v>
      </c>
      <c r="B727" t="s">
        <v>1</v>
      </c>
      <c r="C727">
        <v>726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5">
      <c r="A728" s="1">
        <v>0.62875319444444444</v>
      </c>
      <c r="B728" t="s">
        <v>1</v>
      </c>
      <c r="C728">
        <v>727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5">
      <c r="A729" s="1">
        <v>0.62875331018518521</v>
      </c>
      <c r="B729" t="s">
        <v>1</v>
      </c>
      <c r="C729">
        <v>728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5">
      <c r="A730" s="1">
        <v>0.62875342592592598</v>
      </c>
      <c r="B730" t="s">
        <v>1</v>
      </c>
      <c r="C730">
        <v>729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5">
      <c r="A731" s="1">
        <v>0.62875354166666664</v>
      </c>
      <c r="B731" t="s">
        <v>1</v>
      </c>
      <c r="C731">
        <v>730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5">
      <c r="A732" s="1">
        <v>0.62875365740740741</v>
      </c>
      <c r="B732" t="s">
        <v>1</v>
      </c>
      <c r="C732">
        <v>731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5">
      <c r="A733" s="1">
        <v>0.62875377314814818</v>
      </c>
      <c r="B733" t="s">
        <v>1</v>
      </c>
      <c r="C733">
        <v>732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5">
      <c r="A734" s="1">
        <v>0.62875388888888883</v>
      </c>
      <c r="B734" t="s">
        <v>2</v>
      </c>
      <c r="C734">
        <v>733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5">
      <c r="A735" s="1">
        <v>0.6287540046296296</v>
      </c>
      <c r="B735" t="s">
        <v>2</v>
      </c>
      <c r="C735">
        <v>734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5">
      <c r="A736" s="1">
        <v>0.62875412037037037</v>
      </c>
      <c r="B736" t="s">
        <v>2</v>
      </c>
      <c r="C736">
        <v>735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5">
      <c r="A737" s="1">
        <v>0.628754224537037</v>
      </c>
      <c r="B737" t="s">
        <v>2</v>
      </c>
      <c r="C737">
        <v>736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5">
      <c r="A738" s="1">
        <v>0.62875434027777777</v>
      </c>
      <c r="B738" t="s">
        <v>1</v>
      </c>
      <c r="C738">
        <v>737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5">
      <c r="A739" s="1">
        <v>0.62875445601851854</v>
      </c>
      <c r="B739" t="s">
        <v>1</v>
      </c>
      <c r="C739">
        <v>738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5">
      <c r="A740" s="1">
        <v>0.62875457175925931</v>
      </c>
      <c r="B740" t="s">
        <v>1</v>
      </c>
      <c r="C740">
        <v>739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5">
      <c r="A741" s="1">
        <v>0.62875468749999996</v>
      </c>
      <c r="B741" t="s">
        <v>1</v>
      </c>
      <c r="C741">
        <v>740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5">
      <c r="A742" s="1">
        <v>0.62875480324074073</v>
      </c>
      <c r="B742" t="s">
        <v>1</v>
      </c>
      <c r="C742">
        <v>741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5">
      <c r="A743" s="1">
        <v>0.6287549189814815</v>
      </c>
      <c r="B743" t="s">
        <v>1</v>
      </c>
      <c r="C743">
        <v>742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5">
      <c r="A744" s="1">
        <v>0.62875503472222227</v>
      </c>
      <c r="B744" t="s">
        <v>1</v>
      </c>
      <c r="C744">
        <v>743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 x14ac:dyDescent="0.25">
      <c r="A745" s="1">
        <v>0.62875515046296293</v>
      </c>
      <c r="B745" t="s">
        <v>1</v>
      </c>
      <c r="C745">
        <v>744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5">
      <c r="A746" s="1">
        <v>0.6287552662037037</v>
      </c>
      <c r="B746" t="s">
        <v>1</v>
      </c>
      <c r="C746">
        <v>745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5">
      <c r="A747" s="1">
        <v>0.62875538194444447</v>
      </c>
      <c r="B747" t="s">
        <v>1</v>
      </c>
      <c r="C747">
        <v>746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5">
      <c r="A748" s="1">
        <v>0.62875549768518524</v>
      </c>
      <c r="B748" t="s">
        <v>1</v>
      </c>
      <c r="C748">
        <v>747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5">
      <c r="A749" s="1">
        <v>0.6287556134259259</v>
      </c>
      <c r="B749" t="s">
        <v>1</v>
      </c>
      <c r="C749">
        <v>748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5">
      <c r="A750" s="1">
        <v>0.62875572916666667</v>
      </c>
      <c r="B750" t="s">
        <v>1</v>
      </c>
      <c r="C750">
        <v>749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5">
      <c r="A751" s="1">
        <v>0.62875584490740744</v>
      </c>
      <c r="B751" t="s">
        <v>1</v>
      </c>
      <c r="C751">
        <v>750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5">
      <c r="A752" s="1">
        <v>0.62875596064814809</v>
      </c>
      <c r="B752" t="s">
        <v>1</v>
      </c>
      <c r="C752">
        <v>751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5">
      <c r="A753" s="1">
        <v>0.62875608796296301</v>
      </c>
      <c r="B753" t="s">
        <v>1</v>
      </c>
      <c r="C753">
        <v>752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5">
      <c r="A754" s="1">
        <v>0.62875619212962963</v>
      </c>
      <c r="B754" t="s">
        <v>1</v>
      </c>
      <c r="C754">
        <v>753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5">
      <c r="A755" s="1">
        <v>0.6287563078703704</v>
      </c>
      <c r="B755" t="s">
        <v>1</v>
      </c>
      <c r="C755">
        <v>754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5">
      <c r="A756" s="1">
        <v>0.62875642361111106</v>
      </c>
      <c r="B756" t="s">
        <v>1</v>
      </c>
      <c r="C756">
        <v>755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5">
      <c r="A757" s="1">
        <v>0.62875653935185183</v>
      </c>
      <c r="B757" t="s">
        <v>1</v>
      </c>
      <c r="C757">
        <v>756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5">
      <c r="A758" s="1">
        <v>0.6287566550925926</v>
      </c>
      <c r="B758" t="s">
        <v>1</v>
      </c>
      <c r="C758">
        <v>757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5">
      <c r="A759" s="1">
        <v>0.62875677083333337</v>
      </c>
      <c r="B759" t="s">
        <v>1</v>
      </c>
      <c r="C759">
        <v>758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5">
      <c r="A760" s="1">
        <v>0.62875688657407403</v>
      </c>
      <c r="B760" t="s">
        <v>1</v>
      </c>
      <c r="C760">
        <v>759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5">
      <c r="A761" s="1">
        <v>0.62875700231481479</v>
      </c>
      <c r="B761" t="s">
        <v>1</v>
      </c>
      <c r="C761">
        <v>760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5">
      <c r="A762" s="1">
        <v>0.62875711805555556</v>
      </c>
      <c r="B762" t="s">
        <v>1</v>
      </c>
      <c r="C762">
        <v>761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5">
      <c r="A763" s="1">
        <v>0.62875723379629633</v>
      </c>
      <c r="B763" t="s">
        <v>1</v>
      </c>
      <c r="C763">
        <v>762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5">
      <c r="A764" s="1">
        <v>0.62875734953703699</v>
      </c>
      <c r="B764" t="s">
        <v>2</v>
      </c>
      <c r="C764">
        <v>763</v>
      </c>
      <c r="D764">
        <v>0</v>
      </c>
      <c r="E764">
        <v>1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5">
      <c r="A765" s="1">
        <v>0.62875746527777776</v>
      </c>
      <c r="B765" t="s">
        <v>2</v>
      </c>
      <c r="C765">
        <v>764</v>
      </c>
      <c r="D765">
        <v>0</v>
      </c>
      <c r="E765">
        <v>1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5">
      <c r="A766" s="1">
        <v>0.62875758101851853</v>
      </c>
      <c r="B766" t="s">
        <v>2</v>
      </c>
      <c r="C766">
        <v>765</v>
      </c>
      <c r="D766">
        <v>0</v>
      </c>
      <c r="E766">
        <v>1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5">
      <c r="A767" s="1">
        <v>0.6287576967592593</v>
      </c>
      <c r="B767" t="s">
        <v>2</v>
      </c>
      <c r="C767">
        <v>766</v>
      </c>
      <c r="D767">
        <v>0</v>
      </c>
      <c r="E767">
        <v>1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5">
      <c r="A768" s="1">
        <v>0.62875781249999996</v>
      </c>
      <c r="B768" t="s">
        <v>1</v>
      </c>
      <c r="C768">
        <v>767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5">
      <c r="A769" s="1">
        <v>0.62875792824074073</v>
      </c>
      <c r="B769" t="s">
        <v>1</v>
      </c>
      <c r="C769">
        <v>768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5">
      <c r="A770" s="1">
        <v>0.6287580439814815</v>
      </c>
      <c r="B770" t="s">
        <v>1</v>
      </c>
      <c r="C770">
        <v>769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5">
      <c r="A771" s="1">
        <v>0.62875815972222227</v>
      </c>
      <c r="B771" t="s">
        <v>1</v>
      </c>
      <c r="C771">
        <v>770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5">
      <c r="A772" s="1">
        <v>0.62875827546296292</v>
      </c>
      <c r="B772" t="s">
        <v>1</v>
      </c>
      <c r="C772">
        <v>771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5">
      <c r="A773" s="1">
        <v>0.62875839120370369</v>
      </c>
      <c r="B773" t="s">
        <v>1</v>
      </c>
      <c r="C773">
        <v>772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5">
      <c r="A774" s="1">
        <v>0.62875850694444446</v>
      </c>
      <c r="B774" t="s">
        <v>1</v>
      </c>
      <c r="C774">
        <v>773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5">
      <c r="A775" s="1">
        <v>0.62875862268518523</v>
      </c>
      <c r="B775" t="s">
        <v>1</v>
      </c>
      <c r="C775">
        <v>774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5">
      <c r="A776" s="1">
        <v>0.62875873842592589</v>
      </c>
      <c r="B776" t="s">
        <v>1</v>
      </c>
      <c r="C776">
        <v>775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5">
      <c r="A777" s="1">
        <v>0.62875885416666666</v>
      </c>
      <c r="B777" t="s">
        <v>1</v>
      </c>
      <c r="C777">
        <v>776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5">
      <c r="A778" s="1">
        <v>0.62875896990740743</v>
      </c>
      <c r="B778" t="s">
        <v>1</v>
      </c>
      <c r="C778">
        <v>777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5">
      <c r="A779" s="1">
        <v>0.6287590856481482</v>
      </c>
      <c r="B779" t="s">
        <v>1</v>
      </c>
      <c r="C779">
        <v>778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5">
      <c r="A780" s="1">
        <v>0.62875931712962962</v>
      </c>
      <c r="B780" t="s">
        <v>1</v>
      </c>
      <c r="C780">
        <v>779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5">
      <c r="A781" s="1">
        <v>0.62875943287037039</v>
      </c>
      <c r="B781" t="s">
        <v>1</v>
      </c>
      <c r="C781">
        <v>780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5">
      <c r="A782" s="1">
        <v>0.62875954861111116</v>
      </c>
      <c r="B782" t="s">
        <v>1</v>
      </c>
      <c r="C782">
        <v>781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5">
      <c r="A783" s="1">
        <v>0.62875966435185182</v>
      </c>
      <c r="B783" t="s">
        <v>1</v>
      </c>
      <c r="C783">
        <v>782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5">
      <c r="A784" s="1">
        <v>0.62875978009259259</v>
      </c>
      <c r="B784" t="s">
        <v>1</v>
      </c>
      <c r="C784">
        <v>783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5">
      <c r="A785" s="1">
        <v>0.62875989583333336</v>
      </c>
      <c r="B785" t="s">
        <v>1</v>
      </c>
      <c r="C785">
        <v>784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5">
      <c r="A786" s="1">
        <v>0.62876001157407413</v>
      </c>
      <c r="B786" t="s">
        <v>1</v>
      </c>
      <c r="C786">
        <v>785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 x14ac:dyDescent="0.25">
      <c r="A787" s="1">
        <v>0.62876012731481479</v>
      </c>
      <c r="B787" t="s">
        <v>1</v>
      </c>
      <c r="C787">
        <v>786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5">
      <c r="A788" s="1">
        <v>0.62876024305555556</v>
      </c>
      <c r="B788" t="s">
        <v>1</v>
      </c>
      <c r="C788">
        <v>787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5">
      <c r="A789" s="1">
        <v>0.62876035879629633</v>
      </c>
      <c r="B789" t="s">
        <v>1</v>
      </c>
      <c r="C789">
        <v>788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5">
      <c r="A790" s="1">
        <v>0.62876047453703698</v>
      </c>
      <c r="B790" t="s">
        <v>1</v>
      </c>
      <c r="C790">
        <v>789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5">
      <c r="A791" s="1">
        <v>0.62876059027777775</v>
      </c>
      <c r="B791" t="s">
        <v>1</v>
      </c>
      <c r="C791">
        <v>790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5">
      <c r="A792" s="1">
        <v>0.62876070601851852</v>
      </c>
      <c r="B792" t="s">
        <v>1</v>
      </c>
      <c r="C792">
        <v>791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5">
      <c r="A793" s="1">
        <v>0.62876082175925929</v>
      </c>
      <c r="B793" t="s">
        <v>2</v>
      </c>
      <c r="C793">
        <v>792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5">
      <c r="A794" s="1">
        <v>0.62876093749999995</v>
      </c>
      <c r="B794" t="s">
        <v>2</v>
      </c>
      <c r="C794">
        <v>793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5">
      <c r="A795" s="1">
        <v>0.62876104166666669</v>
      </c>
      <c r="B795" t="s">
        <v>2</v>
      </c>
      <c r="C795">
        <v>794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5">
      <c r="A796" s="1">
        <v>0.62876115740740746</v>
      </c>
      <c r="B796" t="s">
        <v>2</v>
      </c>
      <c r="C796">
        <v>795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5">
      <c r="A797" s="1">
        <v>0.62876127314814811</v>
      </c>
      <c r="B797" t="s">
        <v>1</v>
      </c>
      <c r="C797">
        <v>796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5">
      <c r="A798" s="1">
        <v>0.62876138888888888</v>
      </c>
      <c r="B798" t="s">
        <v>1</v>
      </c>
      <c r="C798">
        <v>797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5">
      <c r="A799" s="1">
        <v>0.62876150462962965</v>
      </c>
      <c r="B799" t="s">
        <v>1</v>
      </c>
      <c r="C799">
        <v>798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5">
      <c r="A800" s="1">
        <v>0.62876162037037042</v>
      </c>
      <c r="B800" t="s">
        <v>1</v>
      </c>
      <c r="C800">
        <v>799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s="1">
        <v>0.62876173611111108</v>
      </c>
      <c r="B801" t="s">
        <v>1</v>
      </c>
      <c r="C801">
        <v>800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5">
      <c r="A802" s="1">
        <v>0.62876185185185185</v>
      </c>
      <c r="B802" t="s">
        <v>1</v>
      </c>
      <c r="C802">
        <v>801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5">
      <c r="A803" s="1">
        <v>0.62876196759259262</v>
      </c>
      <c r="B803" t="s">
        <v>1</v>
      </c>
      <c r="C803">
        <v>802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5">
      <c r="A804" s="1">
        <v>0.62876208333333339</v>
      </c>
      <c r="B804" t="s">
        <v>1</v>
      </c>
      <c r="C804">
        <v>803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 x14ac:dyDescent="0.25">
      <c r="A805" s="1">
        <v>0.62876219907407405</v>
      </c>
      <c r="B805" t="s">
        <v>1</v>
      </c>
      <c r="C805">
        <v>804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5">
      <c r="A806" s="1">
        <v>0.62876231481481482</v>
      </c>
      <c r="B806" t="s">
        <v>1</v>
      </c>
      <c r="C806">
        <v>805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5">
      <c r="A807" s="1">
        <v>0.62876243055555558</v>
      </c>
      <c r="B807" t="s">
        <v>1</v>
      </c>
      <c r="C807">
        <v>806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5">
      <c r="A808" s="1">
        <v>0.62876254629629624</v>
      </c>
      <c r="B808" t="s">
        <v>1</v>
      </c>
      <c r="C808">
        <v>807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5">
      <c r="A809" s="1">
        <v>0.62876266203703701</v>
      </c>
      <c r="B809" t="s">
        <v>1</v>
      </c>
      <c r="C809">
        <v>808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5">
      <c r="A810" s="1">
        <v>0.62876277777777778</v>
      </c>
      <c r="B810" t="s">
        <v>1</v>
      </c>
      <c r="C810">
        <v>809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5">
      <c r="A811" s="1">
        <v>0.62876289351851855</v>
      </c>
      <c r="B811" t="s">
        <v>1</v>
      </c>
      <c r="C811">
        <v>810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5">
      <c r="A812" s="1">
        <v>0.62876300925925921</v>
      </c>
      <c r="B812" t="s">
        <v>1</v>
      </c>
      <c r="C812">
        <v>811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5">
      <c r="A813" s="1">
        <v>0.62876312499999998</v>
      </c>
      <c r="B813" t="s">
        <v>1</v>
      </c>
      <c r="C813">
        <v>812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5">
      <c r="A814" s="1">
        <v>0.62876324074074075</v>
      </c>
      <c r="B814" t="s">
        <v>1</v>
      </c>
      <c r="C814">
        <v>813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5">
      <c r="A815" s="1">
        <v>0.62876335648148152</v>
      </c>
      <c r="B815" t="s">
        <v>1</v>
      </c>
      <c r="C815">
        <v>814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5">
      <c r="A816" s="1">
        <v>0.62876347222222218</v>
      </c>
      <c r="B816" t="s">
        <v>1</v>
      </c>
      <c r="C816">
        <v>815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5">
      <c r="A817" s="1">
        <v>0.62876358796296294</v>
      </c>
      <c r="B817" t="s">
        <v>1</v>
      </c>
      <c r="C817">
        <v>816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5">
      <c r="A818" s="1">
        <v>0.62876370370370371</v>
      </c>
      <c r="B818" t="s">
        <v>1</v>
      </c>
      <c r="C818">
        <v>817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5">
      <c r="A819" s="1">
        <v>0.62876381944444448</v>
      </c>
      <c r="B819" t="s">
        <v>1</v>
      </c>
      <c r="C819">
        <v>818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5">
      <c r="A820" s="1">
        <v>0.62876393518518514</v>
      </c>
      <c r="B820" t="s">
        <v>1</v>
      </c>
      <c r="C820">
        <v>819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5">
      <c r="A821" s="1">
        <v>0.62876405092592591</v>
      </c>
      <c r="B821" t="s">
        <v>1</v>
      </c>
      <c r="C821">
        <v>820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5">
      <c r="A822" s="1">
        <v>0.62876416666666668</v>
      </c>
      <c r="B822" t="s">
        <v>1</v>
      </c>
      <c r="C822">
        <v>821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 x14ac:dyDescent="0.25">
      <c r="A823" s="1">
        <v>0.62876428240740745</v>
      </c>
      <c r="B823" t="s">
        <v>2</v>
      </c>
      <c r="C823">
        <v>822</v>
      </c>
      <c r="D823">
        <v>0</v>
      </c>
      <c r="E823">
        <v>1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5">
      <c r="A824" s="1">
        <v>0.62876439814814811</v>
      </c>
      <c r="B824" t="s">
        <v>2</v>
      </c>
      <c r="C824">
        <v>823</v>
      </c>
      <c r="D824">
        <v>0</v>
      </c>
      <c r="E824">
        <v>1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5">
      <c r="A825" s="1">
        <v>0.62876451388888888</v>
      </c>
      <c r="B825" t="s">
        <v>2</v>
      </c>
      <c r="C825">
        <v>824</v>
      </c>
      <c r="D825">
        <v>0</v>
      </c>
      <c r="E825">
        <v>1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5">
      <c r="A826" s="1">
        <v>0.62876462962962965</v>
      </c>
      <c r="B826" t="s">
        <v>2</v>
      </c>
      <c r="C826">
        <v>825</v>
      </c>
      <c r="D826">
        <v>0</v>
      </c>
      <c r="E826">
        <v>1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5">
      <c r="A827" s="1">
        <v>0.62876474537037041</v>
      </c>
      <c r="B827" t="s">
        <v>1</v>
      </c>
      <c r="C827">
        <v>826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5">
      <c r="A828" s="1">
        <v>0.62876486111111107</v>
      </c>
      <c r="B828" t="s">
        <v>1</v>
      </c>
      <c r="C828">
        <v>827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5">
      <c r="A829" s="1">
        <v>0.62876497685185184</v>
      </c>
      <c r="B829" t="s">
        <v>1</v>
      </c>
      <c r="C829">
        <v>828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5">
      <c r="A830" s="1">
        <v>0.62876509259259261</v>
      </c>
      <c r="B830" t="s">
        <v>1</v>
      </c>
      <c r="C830">
        <v>829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5">
      <c r="A831" s="1">
        <v>0.62876520833333338</v>
      </c>
      <c r="B831" t="s">
        <v>1</v>
      </c>
      <c r="C831">
        <v>830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5">
      <c r="A832" s="1">
        <v>0.62876532407407404</v>
      </c>
      <c r="B832" t="s">
        <v>1</v>
      </c>
      <c r="C832">
        <v>831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5">
      <c r="A833" s="1">
        <v>0.62876543981481481</v>
      </c>
      <c r="B833" t="s">
        <v>1</v>
      </c>
      <c r="C833">
        <v>832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5">
      <c r="A834" s="1">
        <v>0.62876555555555558</v>
      </c>
      <c r="B834" t="s">
        <v>1</v>
      </c>
      <c r="C834">
        <v>833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5">
      <c r="A835" s="1">
        <v>0.62876567129629635</v>
      </c>
      <c r="B835" t="s">
        <v>1</v>
      </c>
      <c r="C835">
        <v>834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5">
      <c r="A836" s="1">
        <v>0.62876578703703701</v>
      </c>
      <c r="B836" t="s">
        <v>1</v>
      </c>
      <c r="C836">
        <v>835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5">
      <c r="A837" s="1">
        <v>0.62876590277777777</v>
      </c>
      <c r="B837" t="s">
        <v>1</v>
      </c>
      <c r="C837">
        <v>836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5">
      <c r="A838" s="1">
        <v>0.62876601851851854</v>
      </c>
      <c r="B838" t="s">
        <v>1</v>
      </c>
      <c r="C838">
        <v>837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5">
      <c r="A839" s="1">
        <v>0.62876613425925931</v>
      </c>
      <c r="B839" t="s">
        <v>1</v>
      </c>
      <c r="C839">
        <v>838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5">
      <c r="A840" s="1">
        <v>0.62876624999999997</v>
      </c>
      <c r="B840" t="s">
        <v>1</v>
      </c>
      <c r="C840">
        <v>839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5">
      <c r="A841" s="1">
        <v>0.62876636574074074</v>
      </c>
      <c r="B841" t="s">
        <v>1</v>
      </c>
      <c r="C841">
        <v>840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5">
      <c r="A842" s="1">
        <v>0.62876648148148151</v>
      </c>
      <c r="B842" t="s">
        <v>1</v>
      </c>
      <c r="C842">
        <v>841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 x14ac:dyDescent="0.25">
      <c r="A843" s="1">
        <v>0.62876659722222217</v>
      </c>
      <c r="B843" t="s">
        <v>1</v>
      </c>
      <c r="C843">
        <v>842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5">
      <c r="A844" s="1">
        <v>0.62876671296296294</v>
      </c>
      <c r="B844" t="s">
        <v>1</v>
      </c>
      <c r="C844">
        <v>843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5">
      <c r="A845" s="1">
        <v>0.62876682870370371</v>
      </c>
      <c r="B845" t="s">
        <v>1</v>
      </c>
      <c r="C845">
        <v>844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5">
      <c r="A846" s="1">
        <v>0.62876694444444448</v>
      </c>
      <c r="B846" t="s">
        <v>1</v>
      </c>
      <c r="C846">
        <v>845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5">
      <c r="A847" s="1">
        <v>0.62876706018518513</v>
      </c>
      <c r="B847" t="s">
        <v>1</v>
      </c>
      <c r="C847">
        <v>846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5">
      <c r="A848" s="1">
        <v>0.62876716435185187</v>
      </c>
      <c r="B848" t="s">
        <v>1</v>
      </c>
      <c r="C848">
        <v>847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5">
      <c r="A849" s="1">
        <v>0.62876729166666667</v>
      </c>
      <c r="B849" t="s">
        <v>1</v>
      </c>
      <c r="C849">
        <v>848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5">
      <c r="A850" s="1">
        <v>0.62876740740740744</v>
      </c>
      <c r="B850" t="s">
        <v>1</v>
      </c>
      <c r="C850">
        <v>849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 x14ac:dyDescent="0.25">
      <c r="A851" s="1">
        <v>0.6287675231481481</v>
      </c>
      <c r="B851" t="s">
        <v>1</v>
      </c>
      <c r="C851">
        <v>850</v>
      </c>
      <c r="D851">
        <v>0</v>
      </c>
      <c r="E851">
        <v>0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5">
      <c r="A852" s="1">
        <v>0.62876763888888887</v>
      </c>
      <c r="B852" t="s">
        <v>1</v>
      </c>
      <c r="C852">
        <v>851</v>
      </c>
      <c r="D852">
        <v>0</v>
      </c>
      <c r="E852">
        <v>0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5">
      <c r="A853" s="1">
        <v>0.62876775462962964</v>
      </c>
      <c r="B853" t="s">
        <v>2</v>
      </c>
      <c r="C853">
        <v>852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5">
      <c r="A854" s="1">
        <v>0.62876787037037041</v>
      </c>
      <c r="B854" t="s">
        <v>2</v>
      </c>
      <c r="C854">
        <v>853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5">
      <c r="A855" s="1">
        <v>0.62876798611111107</v>
      </c>
      <c r="B855" t="s">
        <v>2</v>
      </c>
      <c r="C855">
        <v>854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5">
      <c r="A856" s="1">
        <v>0.6287680902777778</v>
      </c>
      <c r="B856" t="s">
        <v>2</v>
      </c>
      <c r="C856">
        <v>855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 x14ac:dyDescent="0.25">
      <c r="A857" s="1">
        <v>0.62876820601851857</v>
      </c>
      <c r="B857" t="s">
        <v>1</v>
      </c>
      <c r="C857">
        <v>856</v>
      </c>
      <c r="D857">
        <v>0</v>
      </c>
      <c r="E857">
        <v>0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5">
      <c r="A858" s="1">
        <v>0.62876832175925923</v>
      </c>
      <c r="B858" t="s">
        <v>1</v>
      </c>
      <c r="C858">
        <v>857</v>
      </c>
      <c r="D858">
        <v>0</v>
      </c>
      <c r="E858">
        <v>0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5">
      <c r="A859" s="1">
        <v>0.62876844907407403</v>
      </c>
      <c r="B859" t="s">
        <v>1</v>
      </c>
      <c r="C859">
        <v>858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5">
      <c r="A860" s="1">
        <v>0.62876855324074077</v>
      </c>
      <c r="B860" t="s">
        <v>1</v>
      </c>
      <c r="C860">
        <v>859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5">
      <c r="A861" s="1">
        <v>0.62876866898148143</v>
      </c>
      <c r="B861" t="s">
        <v>1</v>
      </c>
      <c r="C861">
        <v>860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5">
      <c r="A862" s="1">
        <v>0.6287687847222222</v>
      </c>
      <c r="B862" t="s">
        <v>1</v>
      </c>
      <c r="C862">
        <v>861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5">
      <c r="A863" s="1">
        <v>0.62876890046296297</v>
      </c>
      <c r="B863" t="s">
        <v>1</v>
      </c>
      <c r="C863">
        <v>862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5">
      <c r="A864" s="1">
        <v>0.62876901620370373</v>
      </c>
      <c r="B864" t="s">
        <v>1</v>
      </c>
      <c r="C864">
        <v>863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5">
      <c r="A865" s="1">
        <v>0.62876913194444439</v>
      </c>
      <c r="B865" t="s">
        <v>1</v>
      </c>
      <c r="C865">
        <v>864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5">
      <c r="A866" s="1">
        <v>0.62876924768518516</v>
      </c>
      <c r="B866" t="s">
        <v>1</v>
      </c>
      <c r="C866">
        <v>865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5">
      <c r="A867" s="1">
        <v>0.62876936342592593</v>
      </c>
      <c r="B867" t="s">
        <v>1</v>
      </c>
      <c r="C867">
        <v>866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5">
      <c r="A868" s="1">
        <v>0.6287694791666667</v>
      </c>
      <c r="B868" t="s">
        <v>1</v>
      </c>
      <c r="C868">
        <v>867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5">
      <c r="A869" s="1">
        <v>0.62876959490740736</v>
      </c>
      <c r="B869" t="s">
        <v>1</v>
      </c>
      <c r="C869">
        <v>868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5">
      <c r="A870" s="1">
        <v>0.62876971064814813</v>
      </c>
      <c r="B870" t="s">
        <v>1</v>
      </c>
      <c r="C870">
        <v>869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5">
      <c r="A871" s="1">
        <v>0.62876983796296293</v>
      </c>
      <c r="B871" t="s">
        <v>1</v>
      </c>
      <c r="C871">
        <v>870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5">
      <c r="A872" s="1">
        <v>0.62876994212962967</v>
      </c>
      <c r="B872" t="s">
        <v>1</v>
      </c>
      <c r="C872">
        <v>871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5">
      <c r="A873" s="1">
        <v>0.62877005787037032</v>
      </c>
      <c r="B873" t="s">
        <v>1</v>
      </c>
      <c r="C873">
        <v>872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5">
      <c r="A874" s="1">
        <v>0.62877017361111109</v>
      </c>
      <c r="B874" t="s">
        <v>1</v>
      </c>
      <c r="C874">
        <v>873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5">
      <c r="A875" s="1">
        <v>0.62877028935185186</v>
      </c>
      <c r="B875" t="s">
        <v>1</v>
      </c>
      <c r="C875">
        <v>874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5">
      <c r="A876" s="1">
        <v>0.62877040509259263</v>
      </c>
      <c r="B876" t="s">
        <v>1</v>
      </c>
      <c r="C876">
        <v>875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 x14ac:dyDescent="0.25">
      <c r="A877" s="1">
        <v>0.62877052083333329</v>
      </c>
      <c r="B877" t="s">
        <v>1</v>
      </c>
      <c r="C877">
        <v>876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5">
      <c r="A878" s="1">
        <v>0.62877063657407406</v>
      </c>
      <c r="B878" t="s">
        <v>1</v>
      </c>
      <c r="C878">
        <v>877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 x14ac:dyDescent="0.25">
      <c r="A879" s="1">
        <v>0.6287708680555556</v>
      </c>
      <c r="B879" t="s">
        <v>1</v>
      </c>
      <c r="C879">
        <v>878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5">
      <c r="A880" s="1">
        <v>0.62877098379629626</v>
      </c>
      <c r="B880" t="s">
        <v>1</v>
      </c>
      <c r="C880">
        <v>879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5">
      <c r="A881" s="1">
        <v>0.62877109953703703</v>
      </c>
      <c r="B881" t="s">
        <v>1</v>
      </c>
      <c r="C881">
        <v>880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5">
      <c r="A882" s="1">
        <v>0.6287712152777778</v>
      </c>
      <c r="B882" t="s">
        <v>2</v>
      </c>
      <c r="C882">
        <v>881</v>
      </c>
      <c r="D882">
        <v>0</v>
      </c>
      <c r="E882">
        <v>1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5">
      <c r="A883" s="1">
        <v>0.62877133101851856</v>
      </c>
      <c r="B883" t="s">
        <v>2</v>
      </c>
      <c r="C883">
        <v>882</v>
      </c>
      <c r="D883">
        <v>0</v>
      </c>
      <c r="E883">
        <v>1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5">
      <c r="A884" s="1">
        <v>0.62877144675925922</v>
      </c>
      <c r="B884" t="s">
        <v>2</v>
      </c>
      <c r="C884">
        <v>883</v>
      </c>
      <c r="D884">
        <v>0</v>
      </c>
      <c r="E884">
        <v>1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5">
      <c r="A885" s="1">
        <v>0.62877156249999999</v>
      </c>
      <c r="B885" t="s">
        <v>2</v>
      </c>
      <c r="C885">
        <v>884</v>
      </c>
      <c r="D885">
        <v>0</v>
      </c>
      <c r="E885">
        <v>1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5">
      <c r="A886" s="1">
        <v>0.62877167824074076</v>
      </c>
      <c r="B886" t="s">
        <v>1</v>
      </c>
      <c r="C886">
        <v>885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5">
      <c r="A887" s="1">
        <v>0.62877179398148153</v>
      </c>
      <c r="B887" t="s">
        <v>1</v>
      </c>
      <c r="C887">
        <v>886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5">
      <c r="A888" s="1">
        <v>0.62877190972222219</v>
      </c>
      <c r="B888" t="s">
        <v>1</v>
      </c>
      <c r="C888">
        <v>887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5">
      <c r="A889" s="1">
        <v>0.62877202546296296</v>
      </c>
      <c r="B889" t="s">
        <v>1</v>
      </c>
      <c r="C889">
        <v>888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 x14ac:dyDescent="0.25">
      <c r="A890" s="1">
        <v>0.62877214120370373</v>
      </c>
      <c r="B890" t="s">
        <v>1</v>
      </c>
      <c r="C890">
        <v>889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5">
      <c r="A891" s="1">
        <v>0.6287722569444445</v>
      </c>
      <c r="B891" t="s">
        <v>1</v>
      </c>
      <c r="C891">
        <v>890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5">
      <c r="A892" s="1">
        <v>0.62877237268518515</v>
      </c>
      <c r="B892" t="s">
        <v>1</v>
      </c>
      <c r="C892">
        <v>891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5">
      <c r="A893" s="1">
        <v>0.62877248842592592</v>
      </c>
      <c r="B893" t="s">
        <v>1</v>
      </c>
      <c r="C893">
        <v>892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5">
      <c r="A894" s="1">
        <v>0.62877260416666669</v>
      </c>
      <c r="B894" t="s">
        <v>1</v>
      </c>
      <c r="C894">
        <v>893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5">
      <c r="A895" s="1">
        <v>0.62877271990740746</v>
      </c>
      <c r="B895" t="s">
        <v>1</v>
      </c>
      <c r="C895">
        <v>894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5">
      <c r="A896" s="1">
        <v>0.62877283564814812</v>
      </c>
      <c r="B896" t="s">
        <v>1</v>
      </c>
      <c r="C896">
        <v>895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5">
      <c r="A897" s="1">
        <v>0.62877295138888889</v>
      </c>
      <c r="B897" t="s">
        <v>1</v>
      </c>
      <c r="C897">
        <v>896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5">
      <c r="A898" s="1">
        <v>0.62877306712962966</v>
      </c>
      <c r="B898" t="s">
        <v>1</v>
      </c>
      <c r="C898">
        <v>897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5">
      <c r="A899" s="1">
        <v>0.62877318287037032</v>
      </c>
      <c r="B899" t="s">
        <v>1</v>
      </c>
      <c r="C899">
        <v>898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5">
      <c r="A900" s="1">
        <v>0.62877329861111109</v>
      </c>
      <c r="B900" t="s">
        <v>1</v>
      </c>
      <c r="C900">
        <v>899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5">
      <c r="A901" s="1">
        <v>0.62877341435185186</v>
      </c>
      <c r="B901" t="s">
        <v>1</v>
      </c>
      <c r="C901">
        <v>900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5">
      <c r="A902" s="1">
        <v>0.62877353009259263</v>
      </c>
      <c r="B902" t="s">
        <v>1</v>
      </c>
      <c r="C902">
        <v>901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5">
      <c r="A903" s="1">
        <v>0.62877364583333328</v>
      </c>
      <c r="B903" t="s">
        <v>1</v>
      </c>
      <c r="C903">
        <v>902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5">
      <c r="A904" s="1">
        <v>0.62877376157407405</v>
      </c>
      <c r="B904" t="s">
        <v>1</v>
      </c>
      <c r="C904">
        <v>903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5">
      <c r="A905" s="1">
        <v>0.62877387731481482</v>
      </c>
      <c r="B905" t="s">
        <v>1</v>
      </c>
      <c r="C905">
        <v>904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5">
      <c r="A906" s="1">
        <v>0.62877399305555559</v>
      </c>
      <c r="B906" t="s">
        <v>1</v>
      </c>
      <c r="C906">
        <v>905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5">
      <c r="A907" s="1">
        <v>0.62877410879629625</v>
      </c>
      <c r="B907" t="s">
        <v>1</v>
      </c>
      <c r="C907">
        <v>906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s="1">
        <v>0.62877422453703702</v>
      </c>
      <c r="B908" t="s">
        <v>1</v>
      </c>
      <c r="C908">
        <v>907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5">
      <c r="A909" s="1">
        <v>0.62877432870370376</v>
      </c>
      <c r="B909" t="s">
        <v>1</v>
      </c>
      <c r="C909">
        <v>908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5">
      <c r="A910" s="1">
        <v>0.62877444444444441</v>
      </c>
      <c r="B910" t="s">
        <v>1</v>
      </c>
      <c r="C910">
        <v>909</v>
      </c>
      <c r="D910">
        <v>0</v>
      </c>
      <c r="E910">
        <v>0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5">
      <c r="A911" s="1">
        <v>0.62877457175925922</v>
      </c>
      <c r="B911" t="s">
        <v>1</v>
      </c>
      <c r="C911">
        <v>910</v>
      </c>
      <c r="D911">
        <v>0</v>
      </c>
      <c r="E911">
        <v>0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1">
        <v>0.62877468749999998</v>
      </c>
      <c r="B912" t="s">
        <v>2</v>
      </c>
      <c r="C912">
        <v>911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 x14ac:dyDescent="0.25">
      <c r="A913" s="1">
        <v>0.62877480324074075</v>
      </c>
      <c r="B913" t="s">
        <v>2</v>
      </c>
      <c r="C913">
        <v>912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5">
      <c r="A914" s="1">
        <v>0.62877491898148152</v>
      </c>
      <c r="B914" t="s">
        <v>2</v>
      </c>
      <c r="C914">
        <v>913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5">
      <c r="A915" s="1">
        <v>0.62877502314814815</v>
      </c>
      <c r="B915" t="s">
        <v>2</v>
      </c>
      <c r="C915">
        <v>914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5">
      <c r="A916" s="1">
        <v>0.62877515046296295</v>
      </c>
      <c r="B916" t="s">
        <v>1</v>
      </c>
      <c r="C916">
        <v>915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5">
      <c r="A917" s="1">
        <v>0.62877526620370372</v>
      </c>
      <c r="B917" t="s">
        <v>1</v>
      </c>
      <c r="C917">
        <v>916</v>
      </c>
      <c r="D917">
        <v>0</v>
      </c>
      <c r="E917">
        <v>0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5">
      <c r="A918" s="1">
        <v>0.62877538194444449</v>
      </c>
      <c r="B918" t="s">
        <v>1</v>
      </c>
      <c r="C918">
        <v>917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5">
      <c r="A919" s="1">
        <v>0.62877548611111111</v>
      </c>
      <c r="B919" t="s">
        <v>1</v>
      </c>
      <c r="C919">
        <v>918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5">
      <c r="A920" s="1">
        <v>0.62877560185185188</v>
      </c>
      <c r="B920" t="s">
        <v>1</v>
      </c>
      <c r="C920">
        <v>919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5">
      <c r="A921" s="1">
        <v>0.62877571759259254</v>
      </c>
      <c r="B921" t="s">
        <v>1</v>
      </c>
      <c r="C921">
        <v>920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5">
      <c r="A922" s="1">
        <v>0.62877583333333331</v>
      </c>
      <c r="B922" t="s">
        <v>1</v>
      </c>
      <c r="C922">
        <v>921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5">
      <c r="A923" s="1">
        <v>0.62877594907407408</v>
      </c>
      <c r="B923" t="s">
        <v>1</v>
      </c>
      <c r="C923">
        <v>922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5">
      <c r="A924" s="1">
        <v>0.62877606481481485</v>
      </c>
      <c r="B924" t="s">
        <v>1</v>
      </c>
      <c r="C924">
        <v>923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5">
      <c r="A925" s="1">
        <v>0.62877618055555551</v>
      </c>
      <c r="B925" t="s">
        <v>1</v>
      </c>
      <c r="C925">
        <v>924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5">
      <c r="A926" s="1">
        <v>0.62877629629629628</v>
      </c>
      <c r="B926" t="s">
        <v>1</v>
      </c>
      <c r="C926">
        <v>925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5">
      <c r="A927" s="1">
        <v>0.62877641203703705</v>
      </c>
      <c r="B927" t="s">
        <v>1</v>
      </c>
      <c r="C927">
        <v>926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5">
      <c r="A928" s="1">
        <v>0.62877652777777782</v>
      </c>
      <c r="B928" t="s">
        <v>1</v>
      </c>
      <c r="C928">
        <v>927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5">
      <c r="A929" s="1">
        <v>0.62877664351851847</v>
      </c>
      <c r="B929" t="s">
        <v>1</v>
      </c>
      <c r="C929">
        <v>928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5">
      <c r="A930" s="1">
        <v>0.62877675925925924</v>
      </c>
      <c r="B930" t="s">
        <v>1</v>
      </c>
      <c r="C930">
        <v>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5">
      <c r="A931" s="1">
        <v>0.62877687500000001</v>
      </c>
      <c r="B931" t="s">
        <v>1</v>
      </c>
      <c r="C931">
        <v>930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5">
      <c r="A932" s="1">
        <v>0.62877699074074078</v>
      </c>
      <c r="B932" t="s">
        <v>1</v>
      </c>
      <c r="C932">
        <v>931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5">
      <c r="A933" s="1">
        <v>0.62877710648148144</v>
      </c>
      <c r="B933" t="s">
        <v>1</v>
      </c>
      <c r="C933">
        <v>932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5">
      <c r="A934" s="1">
        <v>0.62877722222222221</v>
      </c>
      <c r="B934" t="s">
        <v>1</v>
      </c>
      <c r="C934">
        <v>933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5">
      <c r="A935" s="1">
        <v>0.62877733796296298</v>
      </c>
      <c r="B935" t="s">
        <v>1</v>
      </c>
      <c r="C935">
        <v>934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5">
      <c r="A936" s="1">
        <v>0.62877745370370375</v>
      </c>
      <c r="B936" t="s">
        <v>1</v>
      </c>
      <c r="C936">
        <v>935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5">
      <c r="A937" s="1">
        <v>0.62877756944444441</v>
      </c>
      <c r="B937" t="s">
        <v>1</v>
      </c>
      <c r="C937">
        <v>936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5">
      <c r="A938" s="1">
        <v>0.62877769675925921</v>
      </c>
      <c r="B938" t="s">
        <v>1</v>
      </c>
      <c r="C938">
        <v>937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5">
      <c r="A939" s="1">
        <v>0.62877780092592594</v>
      </c>
      <c r="B939" t="s">
        <v>1</v>
      </c>
      <c r="C939">
        <v>938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5">
      <c r="A940" s="1">
        <v>0.62877791666666671</v>
      </c>
      <c r="B940" t="s">
        <v>1</v>
      </c>
      <c r="C940">
        <v>939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5">
      <c r="A941" s="1">
        <v>0.62877804398148152</v>
      </c>
      <c r="B941" t="s">
        <v>1</v>
      </c>
      <c r="C941">
        <v>940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5">
      <c r="A942" s="1">
        <v>0.62877814814814814</v>
      </c>
      <c r="B942" t="s">
        <v>2</v>
      </c>
      <c r="C942">
        <v>941</v>
      </c>
      <c r="D942">
        <v>0</v>
      </c>
      <c r="E942">
        <v>1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5">
      <c r="A943" s="1">
        <v>0.62877826388888891</v>
      </c>
      <c r="B943" t="s">
        <v>2</v>
      </c>
      <c r="C943">
        <v>942</v>
      </c>
      <c r="D943">
        <v>0</v>
      </c>
      <c r="E943">
        <v>1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5">
      <c r="A944" s="1">
        <v>0.62877837962962968</v>
      </c>
      <c r="B944" t="s">
        <v>2</v>
      </c>
      <c r="C944">
        <v>943</v>
      </c>
      <c r="D944">
        <v>0</v>
      </c>
      <c r="E944">
        <v>1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5">
      <c r="A945" s="1">
        <v>0.62877849537037034</v>
      </c>
      <c r="B945" t="s">
        <v>2</v>
      </c>
      <c r="C945">
        <v>944</v>
      </c>
      <c r="D945">
        <v>0</v>
      </c>
      <c r="E945">
        <v>1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5">
      <c r="A946" s="1">
        <v>0.62877861111111111</v>
      </c>
      <c r="B946" t="s">
        <v>1</v>
      </c>
      <c r="C946">
        <v>945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5">
      <c r="A947" s="1">
        <v>0.62877872685185188</v>
      </c>
      <c r="B947" t="s">
        <v>1</v>
      </c>
      <c r="C947">
        <v>946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5">
      <c r="A948" s="1">
        <v>0.62877884259259265</v>
      </c>
      <c r="B948" t="s">
        <v>1</v>
      </c>
      <c r="C948">
        <v>947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5">
      <c r="A949" s="1">
        <v>0.6287789583333333</v>
      </c>
      <c r="B949" t="s">
        <v>1</v>
      </c>
      <c r="C949">
        <v>948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5">
      <c r="A950" s="1">
        <v>0.62877907407407407</v>
      </c>
      <c r="B950" t="s">
        <v>1</v>
      </c>
      <c r="C950">
        <v>949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5">
      <c r="A951" s="1">
        <v>0.62877918981481484</v>
      </c>
      <c r="B951" t="s">
        <v>1</v>
      </c>
      <c r="C951">
        <v>950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5">
      <c r="A952" s="1">
        <v>0.6287793055555555</v>
      </c>
      <c r="B952" t="s">
        <v>1</v>
      </c>
      <c r="C952">
        <v>951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5">
      <c r="A953" s="1">
        <v>0.62877942129629627</v>
      </c>
      <c r="B953" t="s">
        <v>1</v>
      </c>
      <c r="C953">
        <v>952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5">
      <c r="A954" s="1">
        <v>0.62877953703703704</v>
      </c>
      <c r="B954" t="s">
        <v>1</v>
      </c>
      <c r="C954">
        <v>953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5">
      <c r="A955" s="1">
        <v>0.62877965277777781</v>
      </c>
      <c r="B955" t="s">
        <v>1</v>
      </c>
      <c r="C955">
        <v>954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5">
      <c r="A956" s="1">
        <v>0.62877976851851847</v>
      </c>
      <c r="B956" t="s">
        <v>1</v>
      </c>
      <c r="C956">
        <v>955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5">
      <c r="A957" s="1">
        <v>0.62877988425925924</v>
      </c>
      <c r="B957" t="s">
        <v>1</v>
      </c>
      <c r="C957">
        <v>956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5">
      <c r="A958" s="1">
        <v>0.62878000000000001</v>
      </c>
      <c r="B958" t="s">
        <v>1</v>
      </c>
      <c r="C958">
        <v>957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5">
      <c r="A959" s="1">
        <v>0.62878011574074077</v>
      </c>
      <c r="B959" t="s">
        <v>1</v>
      </c>
      <c r="C959">
        <v>958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5">
      <c r="A960" s="1">
        <v>0.62878023148148143</v>
      </c>
      <c r="B960" t="s">
        <v>1</v>
      </c>
      <c r="C960">
        <v>959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5">
      <c r="A961" s="1">
        <v>0.6287803472222222</v>
      </c>
      <c r="B961" t="s">
        <v>1</v>
      </c>
      <c r="C961">
        <v>960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5">
      <c r="A962" s="1">
        <v>0.62878046296296297</v>
      </c>
      <c r="B962" t="s">
        <v>1</v>
      </c>
      <c r="C962">
        <v>961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5">
      <c r="A963" s="1">
        <v>0.62878057870370374</v>
      </c>
      <c r="B963" t="s">
        <v>1</v>
      </c>
      <c r="C963">
        <v>962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5">
      <c r="A964" s="1">
        <v>0.6287806944444444</v>
      </c>
      <c r="B964" t="s">
        <v>1</v>
      </c>
      <c r="C964">
        <v>963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5">
      <c r="A965" s="1">
        <v>0.62878081018518517</v>
      </c>
      <c r="B965" t="s">
        <v>1</v>
      </c>
      <c r="C965">
        <v>964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5">
      <c r="A966" s="1">
        <v>0.62878091435185191</v>
      </c>
      <c r="B966" t="s">
        <v>1</v>
      </c>
      <c r="C966">
        <v>965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5">
      <c r="A967" s="1">
        <v>0.62878104166666671</v>
      </c>
      <c r="B967" t="s">
        <v>1</v>
      </c>
      <c r="C967">
        <v>966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5">
      <c r="A968" s="1">
        <v>0.62878115740740737</v>
      </c>
      <c r="B968" t="s">
        <v>1</v>
      </c>
      <c r="C968">
        <v>967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 x14ac:dyDescent="0.25">
      <c r="A969" s="1">
        <v>0.62878127314814813</v>
      </c>
      <c r="B969" t="s">
        <v>1</v>
      </c>
      <c r="C969">
        <v>968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5">
      <c r="A970" s="1">
        <v>0.6287813888888889</v>
      </c>
      <c r="B970" t="s">
        <v>1</v>
      </c>
      <c r="C970">
        <v>969</v>
      </c>
      <c r="D970">
        <v>0</v>
      </c>
      <c r="E970">
        <v>0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5">
      <c r="A971" s="1">
        <v>0.62878150462962967</v>
      </c>
      <c r="B971" t="s">
        <v>1</v>
      </c>
      <c r="C971">
        <v>970</v>
      </c>
      <c r="D971">
        <v>0</v>
      </c>
      <c r="E971">
        <v>0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5">
      <c r="A972" s="1">
        <v>0.62878162037037033</v>
      </c>
      <c r="B972" t="s">
        <v>2</v>
      </c>
      <c r="C972">
        <v>971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5">
      <c r="A973" s="1">
        <v>0.6287817361111111</v>
      </c>
      <c r="B973" t="s">
        <v>2</v>
      </c>
      <c r="C973">
        <v>972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5">
      <c r="A974" s="1">
        <v>0.62878185185185187</v>
      </c>
      <c r="B974" t="s">
        <v>2</v>
      </c>
      <c r="C974">
        <v>973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5">
      <c r="A975" s="1">
        <v>0.62878196759259264</v>
      </c>
      <c r="B975" t="s">
        <v>2</v>
      </c>
      <c r="C975">
        <v>974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5">
      <c r="A976" s="1">
        <v>0.62878207175925926</v>
      </c>
      <c r="B976" t="s">
        <v>1</v>
      </c>
      <c r="C976">
        <v>975</v>
      </c>
      <c r="D976">
        <v>0</v>
      </c>
      <c r="E976">
        <v>0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 x14ac:dyDescent="0.25">
      <c r="A977" s="1">
        <v>0.62878219907407407</v>
      </c>
      <c r="B977" t="s">
        <v>1</v>
      </c>
      <c r="C977">
        <v>976</v>
      </c>
      <c r="D977">
        <v>0</v>
      </c>
      <c r="E977">
        <v>0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5">
      <c r="A978" s="1">
        <v>0.6287824305555556</v>
      </c>
      <c r="B978" t="s">
        <v>1</v>
      </c>
      <c r="C978">
        <v>977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5">
      <c r="A979" s="1">
        <v>0.62878253472222223</v>
      </c>
      <c r="B979" t="s">
        <v>1</v>
      </c>
      <c r="C979">
        <v>978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5">
      <c r="A980" s="1">
        <v>0.62878266203703703</v>
      </c>
      <c r="B980" t="s">
        <v>1</v>
      </c>
      <c r="C980">
        <v>979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5">
      <c r="A981" s="1">
        <v>0.62878276620370366</v>
      </c>
      <c r="B981" t="s">
        <v>1</v>
      </c>
      <c r="C981">
        <v>980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5">
      <c r="A982" s="1">
        <v>0.62878288194444443</v>
      </c>
      <c r="B982" t="s">
        <v>1</v>
      </c>
      <c r="C982">
        <v>981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 x14ac:dyDescent="0.25">
      <c r="A983" s="1">
        <v>0.6287829976851852</v>
      </c>
      <c r="B983" t="s">
        <v>1</v>
      </c>
      <c r="C983">
        <v>982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5">
      <c r="A984" s="1">
        <v>0.62878311342592597</v>
      </c>
      <c r="B984" t="s">
        <v>1</v>
      </c>
      <c r="C984">
        <v>983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5">
      <c r="A985" s="1">
        <v>0.62878322916666662</v>
      </c>
      <c r="B985" t="s">
        <v>1</v>
      </c>
      <c r="C985">
        <v>984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5">
      <c r="A986" s="1">
        <v>0.62878334490740739</v>
      </c>
      <c r="B986" t="s">
        <v>1</v>
      </c>
      <c r="C986">
        <v>985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5">
      <c r="A987" s="1">
        <v>0.62878346064814816</v>
      </c>
      <c r="B987" t="s">
        <v>1</v>
      </c>
      <c r="C987">
        <v>986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5">
      <c r="A988" s="1">
        <v>0.62878358796296296</v>
      </c>
      <c r="B988" t="s">
        <v>1</v>
      </c>
      <c r="C988">
        <v>987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5">
      <c r="A989" s="1">
        <v>0.62878369212962959</v>
      </c>
      <c r="B989" t="s">
        <v>1</v>
      </c>
      <c r="C989">
        <v>988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5">
      <c r="A990" s="1">
        <v>0.62878380787037036</v>
      </c>
      <c r="B990" t="s">
        <v>1</v>
      </c>
      <c r="C990">
        <v>989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5">
      <c r="A991" s="1">
        <v>0.62878392361111113</v>
      </c>
      <c r="B991" t="s">
        <v>1</v>
      </c>
      <c r="C991">
        <v>990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5">
      <c r="A992" s="1">
        <v>0.6287840393518519</v>
      </c>
      <c r="B992" t="s">
        <v>1</v>
      </c>
      <c r="C992">
        <v>991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5">
      <c r="A993" s="1">
        <v>0.62878415509259256</v>
      </c>
      <c r="B993" t="s">
        <v>1</v>
      </c>
      <c r="C993">
        <v>992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5">
      <c r="A994" s="1">
        <v>0.62878427083333333</v>
      </c>
      <c r="B994" t="s">
        <v>1</v>
      </c>
      <c r="C994">
        <v>993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C4D41-6857-4A7E-80A3-C8DF39D63BF5}">
  <dimension ref="A1:S994"/>
  <sheetViews>
    <sheetView workbookViewId="0"/>
  </sheetViews>
  <sheetFormatPr defaultRowHeight="15" x14ac:dyDescent="0.25"/>
  <cols>
    <col min="1" max="1" width="10.28515625" bestFit="1" customWidth="1"/>
    <col min="2" max="2" width="6.85546875" bestFit="1" customWidth="1"/>
    <col min="3" max="3" width="11.85546875" bestFit="1" customWidth="1"/>
    <col min="4" max="12" width="7.140625" bestFit="1" customWidth="1"/>
    <col min="13" max="19" width="8.140625" bestFit="1" customWidth="1"/>
  </cols>
  <sheetData>
    <row r="1" spans="1:19" x14ac:dyDescent="0.25">
      <c r="A1" t="s">
        <v>145</v>
      </c>
      <c r="B1" t="s">
        <v>146</v>
      </c>
      <c r="C1" t="s">
        <v>0</v>
      </c>
      <c r="D1" t="s">
        <v>115</v>
      </c>
      <c r="E1" t="s">
        <v>116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  <c r="R1" t="s">
        <v>159</v>
      </c>
      <c r="S1" t="s">
        <v>160</v>
      </c>
    </row>
    <row r="2" spans="1:19" x14ac:dyDescent="0.25">
      <c r="A2" s="1">
        <v>0.62808703703703705</v>
      </c>
      <c r="B2" t="s">
        <v>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1</v>
      </c>
      <c r="M2">
        <v>1</v>
      </c>
      <c r="N2">
        <v>1</v>
      </c>
      <c r="O2">
        <v>1</v>
      </c>
      <c r="P2">
        <v>1</v>
      </c>
      <c r="Q2">
        <v>1</v>
      </c>
      <c r="R2">
        <v>1</v>
      </c>
      <c r="S2">
        <v>1</v>
      </c>
    </row>
    <row r="3" spans="1:19" x14ac:dyDescent="0.25">
      <c r="A3" s="1">
        <v>0.62808715277777782</v>
      </c>
      <c r="B3" t="s">
        <v>1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1</v>
      </c>
      <c r="M3">
        <v>1</v>
      </c>
      <c r="N3">
        <v>1</v>
      </c>
      <c r="O3">
        <v>1</v>
      </c>
      <c r="P3">
        <v>1</v>
      </c>
      <c r="Q3">
        <v>1</v>
      </c>
      <c r="R3">
        <v>1</v>
      </c>
      <c r="S3">
        <v>1</v>
      </c>
    </row>
    <row r="4" spans="1:19" x14ac:dyDescent="0.25">
      <c r="A4" s="1">
        <v>0.62808726851851848</v>
      </c>
      <c r="B4" t="s">
        <v>1</v>
      </c>
      <c r="C4">
        <v>3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1</v>
      </c>
      <c r="M4">
        <v>1</v>
      </c>
      <c r="N4">
        <v>1</v>
      </c>
      <c r="O4">
        <v>1</v>
      </c>
      <c r="P4">
        <v>1</v>
      </c>
      <c r="Q4">
        <v>1</v>
      </c>
      <c r="R4">
        <v>1</v>
      </c>
      <c r="S4">
        <v>1</v>
      </c>
    </row>
    <row r="5" spans="1:19" x14ac:dyDescent="0.25">
      <c r="A5" s="1">
        <v>0.62808738425925925</v>
      </c>
      <c r="B5" t="s">
        <v>1</v>
      </c>
      <c r="C5">
        <v>4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1</v>
      </c>
      <c r="S5">
        <v>1</v>
      </c>
    </row>
    <row r="6" spans="1:19" x14ac:dyDescent="0.25">
      <c r="A6" s="1">
        <v>0.62808750000000002</v>
      </c>
      <c r="B6" t="s">
        <v>1</v>
      </c>
      <c r="C6">
        <v>5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1</v>
      </c>
      <c r="M6">
        <v>1</v>
      </c>
      <c r="N6">
        <v>1</v>
      </c>
      <c r="O6">
        <v>1</v>
      </c>
      <c r="P6">
        <v>1</v>
      </c>
      <c r="Q6">
        <v>1</v>
      </c>
      <c r="R6">
        <v>1</v>
      </c>
      <c r="S6">
        <v>1</v>
      </c>
    </row>
    <row r="7" spans="1:19" x14ac:dyDescent="0.25">
      <c r="A7" s="1">
        <v>0.62808761574074079</v>
      </c>
      <c r="B7" t="s">
        <v>1</v>
      </c>
      <c r="C7">
        <v>6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1</v>
      </c>
      <c r="M7">
        <v>1</v>
      </c>
      <c r="N7">
        <v>1</v>
      </c>
      <c r="O7">
        <v>1</v>
      </c>
      <c r="P7">
        <v>1</v>
      </c>
      <c r="Q7">
        <v>1</v>
      </c>
      <c r="R7">
        <v>1</v>
      </c>
      <c r="S7">
        <v>1</v>
      </c>
    </row>
    <row r="8" spans="1:19" x14ac:dyDescent="0.25">
      <c r="A8" s="1">
        <v>0.62808773148148145</v>
      </c>
      <c r="B8" t="s">
        <v>1</v>
      </c>
      <c r="C8">
        <v>7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</v>
      </c>
      <c r="M8">
        <v>1</v>
      </c>
      <c r="N8">
        <v>1</v>
      </c>
      <c r="O8">
        <v>1</v>
      </c>
      <c r="P8">
        <v>1</v>
      </c>
      <c r="Q8">
        <v>1</v>
      </c>
      <c r="R8">
        <v>1</v>
      </c>
      <c r="S8">
        <v>1</v>
      </c>
    </row>
    <row r="9" spans="1:19" x14ac:dyDescent="0.25">
      <c r="A9" s="1">
        <v>0.62808784722222222</v>
      </c>
      <c r="B9" t="s">
        <v>1</v>
      </c>
      <c r="C9">
        <v>8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</v>
      </c>
      <c r="M9">
        <v>1</v>
      </c>
      <c r="N9">
        <v>1</v>
      </c>
      <c r="O9">
        <v>1</v>
      </c>
      <c r="P9">
        <v>1</v>
      </c>
      <c r="Q9">
        <v>1</v>
      </c>
      <c r="R9">
        <v>1</v>
      </c>
      <c r="S9">
        <v>1</v>
      </c>
    </row>
    <row r="10" spans="1:19" x14ac:dyDescent="0.25">
      <c r="A10" s="1">
        <v>0.62808796296296299</v>
      </c>
      <c r="B10" t="s">
        <v>1</v>
      </c>
      <c r="C10">
        <v>9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1</v>
      </c>
      <c r="M10">
        <v>1</v>
      </c>
      <c r="N10">
        <v>1</v>
      </c>
      <c r="O10">
        <v>1</v>
      </c>
      <c r="P10">
        <v>1</v>
      </c>
      <c r="Q10">
        <v>1</v>
      </c>
      <c r="R10">
        <v>1</v>
      </c>
      <c r="S10">
        <v>1</v>
      </c>
    </row>
    <row r="11" spans="1:19" x14ac:dyDescent="0.25">
      <c r="A11" s="1">
        <v>0.62808807870370376</v>
      </c>
      <c r="B11" t="s">
        <v>1</v>
      </c>
      <c r="C11">
        <v>10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1</v>
      </c>
      <c r="M11">
        <v>1</v>
      </c>
      <c r="N11">
        <v>1</v>
      </c>
      <c r="O11">
        <v>1</v>
      </c>
      <c r="P11">
        <v>1</v>
      </c>
      <c r="Q11">
        <v>1</v>
      </c>
      <c r="R11">
        <v>1</v>
      </c>
      <c r="S11">
        <v>1</v>
      </c>
    </row>
    <row r="12" spans="1:19" x14ac:dyDescent="0.25">
      <c r="A12" s="1">
        <v>0.62808819444444441</v>
      </c>
      <c r="B12" t="s">
        <v>1</v>
      </c>
      <c r="C12">
        <v>11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1</v>
      </c>
      <c r="M12">
        <v>1</v>
      </c>
      <c r="N12">
        <v>1</v>
      </c>
      <c r="O12">
        <v>1</v>
      </c>
      <c r="P12">
        <v>1</v>
      </c>
      <c r="Q12">
        <v>1</v>
      </c>
      <c r="R12">
        <v>1</v>
      </c>
      <c r="S12">
        <v>1</v>
      </c>
    </row>
    <row r="13" spans="1:19" x14ac:dyDescent="0.25">
      <c r="A13" s="1">
        <v>0.62808831018518518</v>
      </c>
      <c r="B13" t="s">
        <v>1</v>
      </c>
      <c r="C13">
        <v>12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1</v>
      </c>
      <c r="M13">
        <v>1</v>
      </c>
      <c r="N13">
        <v>1</v>
      </c>
      <c r="O13">
        <v>1</v>
      </c>
      <c r="P13">
        <v>1</v>
      </c>
      <c r="Q13">
        <v>1</v>
      </c>
      <c r="R13">
        <v>1</v>
      </c>
      <c r="S13">
        <v>1</v>
      </c>
    </row>
    <row r="14" spans="1:19" x14ac:dyDescent="0.25">
      <c r="A14" s="1">
        <v>0.62808842592592595</v>
      </c>
      <c r="B14" t="s">
        <v>1</v>
      </c>
      <c r="C14">
        <v>13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1</v>
      </c>
      <c r="M14">
        <v>1</v>
      </c>
      <c r="N14">
        <v>1</v>
      </c>
      <c r="O14">
        <v>1</v>
      </c>
      <c r="P14">
        <v>1</v>
      </c>
      <c r="Q14">
        <v>1</v>
      </c>
      <c r="R14">
        <v>1</v>
      </c>
      <c r="S14">
        <v>1</v>
      </c>
    </row>
    <row r="15" spans="1:19" x14ac:dyDescent="0.25">
      <c r="A15" s="1">
        <v>0.62808854166666672</v>
      </c>
      <c r="B15" t="s">
        <v>1</v>
      </c>
      <c r="C15">
        <v>14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1</v>
      </c>
      <c r="M15">
        <v>1</v>
      </c>
      <c r="N15">
        <v>1</v>
      </c>
      <c r="O15">
        <v>1</v>
      </c>
      <c r="P15">
        <v>1</v>
      </c>
      <c r="Q15">
        <v>1</v>
      </c>
      <c r="R15">
        <v>1</v>
      </c>
      <c r="S15">
        <v>1</v>
      </c>
    </row>
    <row r="16" spans="1:19" x14ac:dyDescent="0.25">
      <c r="A16" s="1">
        <v>0.62808865740740738</v>
      </c>
      <c r="B16" t="s">
        <v>1</v>
      </c>
      <c r="C16">
        <v>15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</row>
    <row r="17" spans="1:19" x14ac:dyDescent="0.25">
      <c r="A17" s="1">
        <v>0.62808877314814815</v>
      </c>
      <c r="B17" t="s">
        <v>1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1</v>
      </c>
      <c r="M17">
        <v>1</v>
      </c>
      <c r="N17">
        <v>1</v>
      </c>
      <c r="O17">
        <v>1</v>
      </c>
      <c r="P17">
        <v>1</v>
      </c>
      <c r="Q17">
        <v>1</v>
      </c>
      <c r="R17">
        <v>1</v>
      </c>
      <c r="S17">
        <v>1</v>
      </c>
    </row>
    <row r="18" spans="1:19" x14ac:dyDescent="0.25">
      <c r="A18" s="1">
        <v>0.62808888888888892</v>
      </c>
      <c r="B18" t="s">
        <v>1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1</v>
      </c>
      <c r="M18">
        <v>1</v>
      </c>
      <c r="N18">
        <v>1</v>
      </c>
      <c r="O18">
        <v>1</v>
      </c>
      <c r="P18">
        <v>1</v>
      </c>
      <c r="Q18">
        <v>1</v>
      </c>
      <c r="R18">
        <v>1</v>
      </c>
      <c r="S18">
        <v>1</v>
      </c>
    </row>
    <row r="19" spans="1:19" x14ac:dyDescent="0.25">
      <c r="A19" s="1">
        <v>0.62808912037037035</v>
      </c>
      <c r="B19" t="s">
        <v>2</v>
      </c>
      <c r="C19">
        <v>18</v>
      </c>
      <c r="D19">
        <v>0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1</v>
      </c>
      <c r="M19">
        <v>1</v>
      </c>
      <c r="N19">
        <v>1</v>
      </c>
      <c r="O19">
        <v>1</v>
      </c>
      <c r="P19">
        <v>1</v>
      </c>
      <c r="Q19">
        <v>1</v>
      </c>
      <c r="R19">
        <v>1</v>
      </c>
      <c r="S19">
        <v>1</v>
      </c>
    </row>
    <row r="20" spans="1:19" x14ac:dyDescent="0.25">
      <c r="A20" s="1">
        <v>0.62808923611111112</v>
      </c>
      <c r="B20" t="s">
        <v>2</v>
      </c>
      <c r="C20">
        <v>19</v>
      </c>
      <c r="D20">
        <v>0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</v>
      </c>
      <c r="M20">
        <v>1</v>
      </c>
      <c r="N20">
        <v>1</v>
      </c>
      <c r="O20">
        <v>1</v>
      </c>
      <c r="P20">
        <v>1</v>
      </c>
      <c r="Q20">
        <v>1</v>
      </c>
      <c r="R20">
        <v>1</v>
      </c>
      <c r="S20">
        <v>1</v>
      </c>
    </row>
    <row r="21" spans="1:19" x14ac:dyDescent="0.25">
      <c r="A21" s="1">
        <v>0.62808935185185188</v>
      </c>
      <c r="B21" t="s">
        <v>2</v>
      </c>
      <c r="C21">
        <v>20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</v>
      </c>
      <c r="M21">
        <v>1</v>
      </c>
      <c r="N21">
        <v>1</v>
      </c>
      <c r="O21">
        <v>1</v>
      </c>
      <c r="P21">
        <v>1</v>
      </c>
      <c r="Q21">
        <v>1</v>
      </c>
      <c r="R21">
        <v>1</v>
      </c>
      <c r="S21">
        <v>1</v>
      </c>
    </row>
    <row r="22" spans="1:19" x14ac:dyDescent="0.25">
      <c r="A22" s="1">
        <v>0.62808946759259254</v>
      </c>
      <c r="B22" t="s">
        <v>2</v>
      </c>
      <c r="C22">
        <v>21</v>
      </c>
      <c r="D22">
        <v>0</v>
      </c>
      <c r="E22">
        <v>1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1</v>
      </c>
      <c r="M22">
        <v>1</v>
      </c>
      <c r="N22">
        <v>1</v>
      </c>
      <c r="O22">
        <v>1</v>
      </c>
      <c r="P22">
        <v>1</v>
      </c>
      <c r="Q22">
        <v>1</v>
      </c>
      <c r="R22">
        <v>1</v>
      </c>
      <c r="S22">
        <v>1</v>
      </c>
    </row>
    <row r="23" spans="1:19" x14ac:dyDescent="0.25">
      <c r="A23" s="1">
        <v>0.62808958333333331</v>
      </c>
      <c r="B23" t="s">
        <v>2</v>
      </c>
      <c r="C23">
        <v>22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1</v>
      </c>
      <c r="M23">
        <v>1</v>
      </c>
      <c r="N23">
        <v>1</v>
      </c>
      <c r="O23">
        <v>1</v>
      </c>
      <c r="P23">
        <v>1</v>
      </c>
      <c r="Q23">
        <v>1</v>
      </c>
      <c r="R23">
        <v>1</v>
      </c>
      <c r="S23">
        <v>1</v>
      </c>
    </row>
    <row r="24" spans="1:19" x14ac:dyDescent="0.25">
      <c r="A24" s="1">
        <v>0.62808969907407408</v>
      </c>
      <c r="B24" t="s">
        <v>2</v>
      </c>
      <c r="C24">
        <v>23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1</v>
      </c>
      <c r="M24">
        <v>1</v>
      </c>
      <c r="N24">
        <v>1</v>
      </c>
      <c r="O24">
        <v>1</v>
      </c>
      <c r="P24">
        <v>1</v>
      </c>
      <c r="Q24">
        <v>1</v>
      </c>
      <c r="R24">
        <v>1</v>
      </c>
      <c r="S24">
        <v>1</v>
      </c>
    </row>
    <row r="25" spans="1:19" x14ac:dyDescent="0.25">
      <c r="A25" s="1">
        <v>0.62808981481481485</v>
      </c>
      <c r="B25" t="s">
        <v>2</v>
      </c>
      <c r="C25">
        <v>24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</v>
      </c>
      <c r="M25">
        <v>1</v>
      </c>
      <c r="N25">
        <v>1</v>
      </c>
      <c r="O25">
        <v>1</v>
      </c>
      <c r="P25">
        <v>1</v>
      </c>
      <c r="Q25">
        <v>1</v>
      </c>
      <c r="R25">
        <v>1</v>
      </c>
      <c r="S25">
        <v>1</v>
      </c>
    </row>
    <row r="26" spans="1:19" x14ac:dyDescent="0.25">
      <c r="A26" s="1">
        <v>0.62808993055555551</v>
      </c>
      <c r="B26" t="s">
        <v>1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1</v>
      </c>
      <c r="M26">
        <v>1</v>
      </c>
      <c r="N26">
        <v>1</v>
      </c>
      <c r="O26">
        <v>1</v>
      </c>
      <c r="P26">
        <v>1</v>
      </c>
      <c r="Q26">
        <v>1</v>
      </c>
      <c r="R26">
        <v>1</v>
      </c>
      <c r="S26">
        <v>1</v>
      </c>
    </row>
    <row r="27" spans="1:19" x14ac:dyDescent="0.25">
      <c r="A27" s="1">
        <v>0.62809004629629628</v>
      </c>
      <c r="B27" t="s">
        <v>1</v>
      </c>
      <c r="C27">
        <v>26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1</v>
      </c>
      <c r="Q27">
        <v>1</v>
      </c>
      <c r="R27">
        <v>1</v>
      </c>
      <c r="S27">
        <v>1</v>
      </c>
    </row>
    <row r="28" spans="1:19" x14ac:dyDescent="0.25">
      <c r="A28" s="1">
        <v>0.62809016203703705</v>
      </c>
      <c r="B28" t="s">
        <v>1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</v>
      </c>
      <c r="M28">
        <v>1</v>
      </c>
      <c r="N28">
        <v>1</v>
      </c>
      <c r="O28">
        <v>1</v>
      </c>
      <c r="P28">
        <v>1</v>
      </c>
      <c r="Q28">
        <v>1</v>
      </c>
      <c r="R28">
        <v>1</v>
      </c>
      <c r="S28">
        <v>1</v>
      </c>
    </row>
    <row r="29" spans="1:19" x14ac:dyDescent="0.25">
      <c r="A29" s="1">
        <v>0.62809027777777782</v>
      </c>
      <c r="B29" t="s">
        <v>1</v>
      </c>
      <c r="C29">
        <v>28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1</v>
      </c>
      <c r="M29">
        <v>1</v>
      </c>
      <c r="N29">
        <v>1</v>
      </c>
      <c r="O29">
        <v>1</v>
      </c>
      <c r="P29">
        <v>1</v>
      </c>
      <c r="Q29">
        <v>1</v>
      </c>
      <c r="R29">
        <v>1</v>
      </c>
      <c r="S29">
        <v>1</v>
      </c>
    </row>
    <row r="30" spans="1:19" x14ac:dyDescent="0.25">
      <c r="A30" s="1">
        <v>0.62809039351851847</v>
      </c>
      <c r="B30" t="s">
        <v>1</v>
      </c>
      <c r="C30">
        <v>29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1</v>
      </c>
      <c r="M30">
        <v>1</v>
      </c>
      <c r="N30">
        <v>1</v>
      </c>
      <c r="O30">
        <v>1</v>
      </c>
      <c r="P30">
        <v>1</v>
      </c>
      <c r="Q30">
        <v>1</v>
      </c>
      <c r="R30">
        <v>1</v>
      </c>
      <c r="S30">
        <v>1</v>
      </c>
    </row>
    <row r="31" spans="1:19" x14ac:dyDescent="0.25">
      <c r="A31" s="1">
        <v>0.62809050925925924</v>
      </c>
      <c r="B31" t="s">
        <v>1</v>
      </c>
      <c r="C31">
        <v>30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1</v>
      </c>
      <c r="M31">
        <v>1</v>
      </c>
      <c r="N31">
        <v>1</v>
      </c>
      <c r="O31">
        <v>1</v>
      </c>
      <c r="P31">
        <v>1</v>
      </c>
      <c r="Q31">
        <v>1</v>
      </c>
      <c r="R31">
        <v>1</v>
      </c>
      <c r="S31">
        <v>1</v>
      </c>
    </row>
    <row r="32" spans="1:19" x14ac:dyDescent="0.25">
      <c r="A32" s="1">
        <v>0.62809062500000001</v>
      </c>
      <c r="B32" t="s">
        <v>1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</v>
      </c>
      <c r="M32">
        <v>1</v>
      </c>
      <c r="N32">
        <v>1</v>
      </c>
      <c r="O32">
        <v>1</v>
      </c>
      <c r="P32">
        <v>1</v>
      </c>
      <c r="Q32">
        <v>1</v>
      </c>
      <c r="R32">
        <v>1</v>
      </c>
      <c r="S32">
        <v>1</v>
      </c>
    </row>
    <row r="33" spans="1:19" x14ac:dyDescent="0.25">
      <c r="A33" s="1">
        <v>0.62809074074074078</v>
      </c>
      <c r="B33" t="s">
        <v>1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</row>
    <row r="34" spans="1:19" x14ac:dyDescent="0.25">
      <c r="A34" s="1">
        <v>0.62809085648148144</v>
      </c>
      <c r="B34" t="s">
        <v>1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</row>
    <row r="35" spans="1:19" x14ac:dyDescent="0.25">
      <c r="A35" s="1">
        <v>0.62809097222222221</v>
      </c>
      <c r="B35" t="s">
        <v>1</v>
      </c>
      <c r="C35">
        <v>34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</row>
    <row r="36" spans="1:19" x14ac:dyDescent="0.25">
      <c r="A36" s="1">
        <v>0.62809108796296298</v>
      </c>
      <c r="B36" t="s">
        <v>1</v>
      </c>
      <c r="C36">
        <v>35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</row>
    <row r="37" spans="1:19" x14ac:dyDescent="0.25">
      <c r="A37" s="1">
        <v>0.62809120370370375</v>
      </c>
      <c r="B37" t="s">
        <v>1</v>
      </c>
      <c r="C37">
        <v>36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</row>
    <row r="38" spans="1:19" x14ac:dyDescent="0.25">
      <c r="A38" s="1">
        <v>0.62809131944444441</v>
      </c>
      <c r="B38" t="s">
        <v>1</v>
      </c>
      <c r="C38">
        <v>37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</row>
    <row r="39" spans="1:19" x14ac:dyDescent="0.25">
      <c r="A39" s="1">
        <v>0.62809143518518518</v>
      </c>
      <c r="B39" t="s">
        <v>1</v>
      </c>
      <c r="C39">
        <v>38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</row>
    <row r="40" spans="1:19" x14ac:dyDescent="0.25">
      <c r="A40" s="1">
        <v>0.6280915393518518</v>
      </c>
      <c r="B40" t="s">
        <v>1</v>
      </c>
      <c r="C40">
        <v>39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</row>
    <row r="41" spans="1:19" x14ac:dyDescent="0.25">
      <c r="A41" s="1">
        <v>0.62809166666666671</v>
      </c>
      <c r="B41" t="s">
        <v>1</v>
      </c>
      <c r="C41">
        <v>40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</row>
    <row r="42" spans="1:19" x14ac:dyDescent="0.25">
      <c r="A42" s="1">
        <v>0.62809178240740737</v>
      </c>
      <c r="B42" t="s">
        <v>1</v>
      </c>
      <c r="C42">
        <v>41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</row>
    <row r="43" spans="1:19" x14ac:dyDescent="0.25">
      <c r="A43" s="1">
        <v>0.62809189814814814</v>
      </c>
      <c r="B43" t="s">
        <v>1</v>
      </c>
      <c r="C43">
        <v>42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</row>
    <row r="44" spans="1:19" x14ac:dyDescent="0.25">
      <c r="A44" s="1">
        <v>0.62809201388888891</v>
      </c>
      <c r="B44" t="s">
        <v>1</v>
      </c>
      <c r="C44">
        <v>43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</row>
    <row r="45" spans="1:19" x14ac:dyDescent="0.25">
      <c r="A45" s="1">
        <v>0.62809212962962968</v>
      </c>
      <c r="B45" t="s">
        <v>1</v>
      </c>
      <c r="C45">
        <v>44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</row>
    <row r="46" spans="1:19" x14ac:dyDescent="0.25">
      <c r="A46" s="1">
        <v>0.62809223379629631</v>
      </c>
      <c r="B46" t="s">
        <v>1</v>
      </c>
      <c r="C46">
        <v>45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</row>
    <row r="47" spans="1:19" x14ac:dyDescent="0.25">
      <c r="A47" s="1">
        <v>0.62809234953703708</v>
      </c>
      <c r="B47" t="s">
        <v>1</v>
      </c>
      <c r="C47">
        <v>46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</row>
    <row r="48" spans="1:19" x14ac:dyDescent="0.25">
      <c r="A48" s="1">
        <v>0.62809246527777773</v>
      </c>
      <c r="B48" t="s">
        <v>1</v>
      </c>
      <c r="C48">
        <v>47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</row>
    <row r="49" spans="1:19" x14ac:dyDescent="0.25">
      <c r="A49" s="1">
        <v>0.6280925810185185</v>
      </c>
      <c r="B49" t="s">
        <v>1</v>
      </c>
      <c r="C49">
        <v>48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</row>
    <row r="50" spans="1:19" x14ac:dyDescent="0.25">
      <c r="A50" s="1">
        <v>0.62809269675925927</v>
      </c>
      <c r="B50" t="s">
        <v>1</v>
      </c>
      <c r="C50">
        <v>49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1</v>
      </c>
      <c r="M50">
        <v>1</v>
      </c>
      <c r="N50">
        <v>1</v>
      </c>
      <c r="O50">
        <v>1</v>
      </c>
      <c r="P50">
        <v>1</v>
      </c>
      <c r="Q50">
        <v>1</v>
      </c>
      <c r="R50">
        <v>1</v>
      </c>
      <c r="S50">
        <v>1</v>
      </c>
    </row>
    <row r="51" spans="1:19" x14ac:dyDescent="0.25">
      <c r="A51" s="1">
        <v>0.62809281250000004</v>
      </c>
      <c r="B51" t="s">
        <v>1</v>
      </c>
      <c r="C51">
        <v>50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</row>
    <row r="52" spans="1:19" x14ac:dyDescent="0.25">
      <c r="A52" s="1">
        <v>0.6280929282407407</v>
      </c>
      <c r="B52" t="s">
        <v>1</v>
      </c>
      <c r="C52">
        <v>51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</row>
    <row r="53" spans="1:19" x14ac:dyDescent="0.25">
      <c r="A53" s="1">
        <v>0.62809304398148147</v>
      </c>
      <c r="B53" t="s">
        <v>1</v>
      </c>
      <c r="C53">
        <v>52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</row>
    <row r="54" spans="1:19" x14ac:dyDescent="0.25">
      <c r="A54" s="1">
        <v>0.62809315972222224</v>
      </c>
      <c r="B54" t="s">
        <v>1</v>
      </c>
      <c r="C54">
        <v>53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</row>
    <row r="55" spans="1:19" x14ac:dyDescent="0.25">
      <c r="A55" s="1">
        <v>0.62809328703703704</v>
      </c>
      <c r="B55" t="s">
        <v>1</v>
      </c>
      <c r="C55">
        <v>54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</row>
    <row r="56" spans="1:19" x14ac:dyDescent="0.25">
      <c r="A56" s="1">
        <v>0.62809339120370367</v>
      </c>
      <c r="B56" t="s">
        <v>1</v>
      </c>
      <c r="C56">
        <v>55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1</v>
      </c>
      <c r="M56">
        <v>1</v>
      </c>
      <c r="N56">
        <v>1</v>
      </c>
      <c r="O56">
        <v>1</v>
      </c>
      <c r="P56">
        <v>1</v>
      </c>
      <c r="Q56">
        <v>1</v>
      </c>
      <c r="R56">
        <v>1</v>
      </c>
      <c r="S56">
        <v>1</v>
      </c>
    </row>
    <row r="57" spans="1:19" x14ac:dyDescent="0.25">
      <c r="A57" s="1">
        <v>0.62809350694444444</v>
      </c>
      <c r="B57" t="s">
        <v>1</v>
      </c>
      <c r="C57">
        <v>56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1</v>
      </c>
      <c r="M57">
        <v>1</v>
      </c>
      <c r="N57">
        <v>1</v>
      </c>
      <c r="O57">
        <v>1</v>
      </c>
      <c r="P57">
        <v>1</v>
      </c>
      <c r="Q57">
        <v>1</v>
      </c>
      <c r="R57">
        <v>1</v>
      </c>
      <c r="S57">
        <v>1</v>
      </c>
    </row>
    <row r="58" spans="1:19" x14ac:dyDescent="0.25">
      <c r="A58" s="1">
        <v>0.6280936226851852</v>
      </c>
      <c r="B58" t="s">
        <v>1</v>
      </c>
      <c r="C58">
        <v>57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1</v>
      </c>
      <c r="M58">
        <v>1</v>
      </c>
      <c r="N58">
        <v>1</v>
      </c>
      <c r="O58">
        <v>1</v>
      </c>
      <c r="P58">
        <v>1</v>
      </c>
      <c r="Q58">
        <v>1</v>
      </c>
      <c r="R58">
        <v>1</v>
      </c>
      <c r="S58">
        <v>1</v>
      </c>
    </row>
    <row r="59" spans="1:19" x14ac:dyDescent="0.25">
      <c r="A59" s="1">
        <v>0.62809373842592597</v>
      </c>
      <c r="B59" t="s">
        <v>1</v>
      </c>
      <c r="C59">
        <v>58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1</v>
      </c>
      <c r="M59">
        <v>1</v>
      </c>
      <c r="N59">
        <v>1</v>
      </c>
      <c r="O59">
        <v>1</v>
      </c>
      <c r="P59">
        <v>1</v>
      </c>
      <c r="Q59">
        <v>1</v>
      </c>
      <c r="R59">
        <v>1</v>
      </c>
      <c r="S59">
        <v>1</v>
      </c>
    </row>
    <row r="60" spans="1:19" x14ac:dyDescent="0.25">
      <c r="A60" s="1">
        <v>0.62809385416666663</v>
      </c>
      <c r="B60" t="s">
        <v>1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</v>
      </c>
      <c r="M60">
        <v>1</v>
      </c>
      <c r="N60">
        <v>1</v>
      </c>
      <c r="O60">
        <v>1</v>
      </c>
      <c r="P60">
        <v>1</v>
      </c>
      <c r="Q60">
        <v>1</v>
      </c>
      <c r="R60">
        <v>1</v>
      </c>
      <c r="S60">
        <v>1</v>
      </c>
    </row>
    <row r="61" spans="1:19" x14ac:dyDescent="0.25">
      <c r="A61" s="1">
        <v>0.6280939699074074</v>
      </c>
      <c r="B61" t="s">
        <v>1</v>
      </c>
      <c r="C61">
        <v>60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</row>
    <row r="62" spans="1:19" x14ac:dyDescent="0.25">
      <c r="A62" s="1">
        <v>0.62809408564814817</v>
      </c>
      <c r="B62" t="s">
        <v>1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1</v>
      </c>
      <c r="M62">
        <v>1</v>
      </c>
      <c r="N62">
        <v>1</v>
      </c>
      <c r="O62">
        <v>1</v>
      </c>
      <c r="P62">
        <v>1</v>
      </c>
      <c r="Q62">
        <v>1</v>
      </c>
      <c r="R62">
        <v>1</v>
      </c>
      <c r="S62">
        <v>1</v>
      </c>
    </row>
    <row r="63" spans="1:19" x14ac:dyDescent="0.25">
      <c r="A63" s="1">
        <v>0.62809420138888894</v>
      </c>
      <c r="B63" t="s">
        <v>1</v>
      </c>
      <c r="C63">
        <v>62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1</v>
      </c>
      <c r="M63">
        <v>1</v>
      </c>
      <c r="N63">
        <v>1</v>
      </c>
      <c r="O63">
        <v>1</v>
      </c>
      <c r="P63">
        <v>1</v>
      </c>
      <c r="Q63">
        <v>1</v>
      </c>
      <c r="R63">
        <v>1</v>
      </c>
      <c r="S63">
        <v>1</v>
      </c>
    </row>
    <row r="64" spans="1:19" x14ac:dyDescent="0.25">
      <c r="A64" s="1">
        <v>0.6280943171296296</v>
      </c>
      <c r="B64" t="s">
        <v>1</v>
      </c>
      <c r="C64">
        <v>63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</v>
      </c>
      <c r="M64">
        <v>1</v>
      </c>
      <c r="N64">
        <v>1</v>
      </c>
      <c r="O64">
        <v>1</v>
      </c>
      <c r="P64">
        <v>1</v>
      </c>
      <c r="Q64">
        <v>1</v>
      </c>
      <c r="R64">
        <v>1</v>
      </c>
      <c r="S64">
        <v>1</v>
      </c>
    </row>
    <row r="65" spans="1:19" x14ac:dyDescent="0.25">
      <c r="A65" s="1">
        <v>0.62809443287037037</v>
      </c>
      <c r="B65" t="s">
        <v>1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1</v>
      </c>
      <c r="M65">
        <v>1</v>
      </c>
      <c r="N65">
        <v>1</v>
      </c>
      <c r="O65">
        <v>1</v>
      </c>
      <c r="P65">
        <v>1</v>
      </c>
      <c r="Q65">
        <v>1</v>
      </c>
      <c r="R65">
        <v>1</v>
      </c>
      <c r="S65">
        <v>1</v>
      </c>
    </row>
    <row r="66" spans="1:19" x14ac:dyDescent="0.25">
      <c r="A66" s="1">
        <v>0.62809454861111114</v>
      </c>
      <c r="B66" t="s">
        <v>1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1</v>
      </c>
      <c r="M66">
        <v>1</v>
      </c>
      <c r="N66">
        <v>1</v>
      </c>
      <c r="O66">
        <v>1</v>
      </c>
      <c r="P66">
        <v>1</v>
      </c>
      <c r="Q66">
        <v>1</v>
      </c>
      <c r="R66">
        <v>1</v>
      </c>
      <c r="S66">
        <v>1</v>
      </c>
    </row>
    <row r="67" spans="1:19" x14ac:dyDescent="0.25">
      <c r="A67" s="1">
        <v>0.62809466435185191</v>
      </c>
      <c r="B67" t="s">
        <v>1</v>
      </c>
      <c r="C67">
        <v>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1</v>
      </c>
      <c r="M67">
        <v>1</v>
      </c>
      <c r="N67">
        <v>1</v>
      </c>
      <c r="O67">
        <v>1</v>
      </c>
      <c r="P67">
        <v>1</v>
      </c>
      <c r="Q67">
        <v>1</v>
      </c>
      <c r="R67">
        <v>1</v>
      </c>
      <c r="S67">
        <v>1</v>
      </c>
    </row>
    <row r="68" spans="1:19" x14ac:dyDescent="0.25">
      <c r="A68" s="1">
        <v>0.62809478009259256</v>
      </c>
      <c r="B68" t="s">
        <v>1</v>
      </c>
      <c r="C68">
        <v>67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1</v>
      </c>
      <c r="M68">
        <v>1</v>
      </c>
      <c r="N68">
        <v>1</v>
      </c>
      <c r="O68">
        <v>1</v>
      </c>
      <c r="P68">
        <v>1</v>
      </c>
      <c r="Q68">
        <v>1</v>
      </c>
      <c r="R68">
        <v>1</v>
      </c>
      <c r="S68">
        <v>1</v>
      </c>
    </row>
    <row r="69" spans="1:19" x14ac:dyDescent="0.25">
      <c r="A69" s="1">
        <v>0.62809489583333333</v>
      </c>
      <c r="B69" t="s">
        <v>1</v>
      </c>
      <c r="C69">
        <v>68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1</v>
      </c>
      <c r="M69">
        <v>1</v>
      </c>
      <c r="N69">
        <v>1</v>
      </c>
      <c r="O69">
        <v>1</v>
      </c>
      <c r="P69">
        <v>1</v>
      </c>
      <c r="Q69">
        <v>1</v>
      </c>
      <c r="R69">
        <v>1</v>
      </c>
      <c r="S69">
        <v>1</v>
      </c>
    </row>
    <row r="70" spans="1:19" x14ac:dyDescent="0.25">
      <c r="A70" s="1">
        <v>0.6280950115740741</v>
      </c>
      <c r="B70" t="s">
        <v>1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1</v>
      </c>
      <c r="Q70">
        <v>1</v>
      </c>
      <c r="R70">
        <v>1</v>
      </c>
      <c r="S70">
        <v>1</v>
      </c>
    </row>
    <row r="71" spans="1:19" x14ac:dyDescent="0.25">
      <c r="A71" s="1">
        <v>0.62809512731481476</v>
      </c>
      <c r="B71" t="s">
        <v>1</v>
      </c>
      <c r="C71">
        <v>70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1</v>
      </c>
      <c r="M71">
        <v>1</v>
      </c>
      <c r="N71">
        <v>1</v>
      </c>
      <c r="O71">
        <v>1</v>
      </c>
      <c r="P71">
        <v>1</v>
      </c>
      <c r="Q71">
        <v>1</v>
      </c>
      <c r="R71">
        <v>1</v>
      </c>
      <c r="S71">
        <v>1</v>
      </c>
    </row>
    <row r="72" spans="1:19" x14ac:dyDescent="0.25">
      <c r="A72" s="1">
        <v>0.62809524305555553</v>
      </c>
      <c r="B72" t="s">
        <v>1</v>
      </c>
      <c r="C72">
        <v>71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</v>
      </c>
      <c r="M72">
        <v>1</v>
      </c>
      <c r="N72">
        <v>1</v>
      </c>
      <c r="O72">
        <v>1</v>
      </c>
      <c r="P72">
        <v>1</v>
      </c>
      <c r="Q72">
        <v>1</v>
      </c>
      <c r="R72">
        <v>1</v>
      </c>
      <c r="S72">
        <v>1</v>
      </c>
    </row>
    <row r="73" spans="1:19" x14ac:dyDescent="0.25">
      <c r="A73" s="1">
        <v>0.6280953587962963</v>
      </c>
      <c r="B73" t="s">
        <v>1</v>
      </c>
      <c r="C73">
        <v>72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</v>
      </c>
      <c r="M73">
        <v>1</v>
      </c>
      <c r="N73">
        <v>1</v>
      </c>
      <c r="O73">
        <v>1</v>
      </c>
      <c r="P73">
        <v>1</v>
      </c>
      <c r="Q73">
        <v>1</v>
      </c>
      <c r="R73">
        <v>1</v>
      </c>
      <c r="S73">
        <v>1</v>
      </c>
    </row>
    <row r="74" spans="1:19" x14ac:dyDescent="0.25">
      <c r="A74" s="1">
        <v>0.62809547453703707</v>
      </c>
      <c r="B74" t="s">
        <v>1</v>
      </c>
      <c r="C74">
        <v>73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1</v>
      </c>
      <c r="M74">
        <v>1</v>
      </c>
      <c r="N74">
        <v>1</v>
      </c>
      <c r="O74">
        <v>1</v>
      </c>
      <c r="P74">
        <v>1</v>
      </c>
      <c r="Q74">
        <v>1</v>
      </c>
      <c r="R74">
        <v>1</v>
      </c>
      <c r="S74">
        <v>1</v>
      </c>
    </row>
    <row r="75" spans="1:19" x14ac:dyDescent="0.25">
      <c r="A75" s="1">
        <v>0.62809559027777773</v>
      </c>
      <c r="B75" t="s">
        <v>1</v>
      </c>
      <c r="C75">
        <v>74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</v>
      </c>
      <c r="M75">
        <v>1</v>
      </c>
      <c r="N75">
        <v>1</v>
      </c>
      <c r="O75">
        <v>1</v>
      </c>
      <c r="P75">
        <v>1</v>
      </c>
      <c r="Q75">
        <v>1</v>
      </c>
      <c r="R75">
        <v>1</v>
      </c>
      <c r="S75">
        <v>1</v>
      </c>
    </row>
    <row r="76" spans="1:19" x14ac:dyDescent="0.25">
      <c r="A76" s="1">
        <v>0.6280957060185185</v>
      </c>
      <c r="B76" t="s">
        <v>1</v>
      </c>
      <c r="C76">
        <v>75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1</v>
      </c>
      <c r="M76">
        <v>1</v>
      </c>
      <c r="N76">
        <v>1</v>
      </c>
      <c r="O76">
        <v>1</v>
      </c>
      <c r="P76">
        <v>1</v>
      </c>
      <c r="Q76">
        <v>1</v>
      </c>
      <c r="R76">
        <v>1</v>
      </c>
      <c r="S76">
        <v>1</v>
      </c>
    </row>
    <row r="77" spans="1:19" x14ac:dyDescent="0.25">
      <c r="A77" s="1">
        <v>0.62809582175925927</v>
      </c>
      <c r="B77" t="s">
        <v>1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1</v>
      </c>
      <c r="M77">
        <v>1</v>
      </c>
      <c r="N77">
        <v>1</v>
      </c>
      <c r="O77">
        <v>1</v>
      </c>
      <c r="P77">
        <v>1</v>
      </c>
      <c r="Q77">
        <v>1</v>
      </c>
      <c r="R77">
        <v>1</v>
      </c>
      <c r="S77">
        <v>1</v>
      </c>
    </row>
    <row r="78" spans="1:19" x14ac:dyDescent="0.25">
      <c r="A78" s="1">
        <v>0.62809593750000003</v>
      </c>
      <c r="B78" t="s">
        <v>1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1</v>
      </c>
      <c r="M78">
        <v>1</v>
      </c>
      <c r="N78">
        <v>1</v>
      </c>
      <c r="O78">
        <v>1</v>
      </c>
      <c r="P78">
        <v>1</v>
      </c>
      <c r="Q78">
        <v>1</v>
      </c>
      <c r="R78">
        <v>1</v>
      </c>
      <c r="S78">
        <v>1</v>
      </c>
    </row>
    <row r="79" spans="1:19" x14ac:dyDescent="0.25">
      <c r="A79" s="1">
        <v>0.62809605324074069</v>
      </c>
      <c r="B79" t="s">
        <v>2</v>
      </c>
      <c r="C79">
        <v>78</v>
      </c>
      <c r="D79">
        <v>0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1</v>
      </c>
      <c r="M79">
        <v>1</v>
      </c>
      <c r="N79">
        <v>1</v>
      </c>
      <c r="O79">
        <v>1</v>
      </c>
      <c r="P79">
        <v>1</v>
      </c>
      <c r="Q79">
        <v>1</v>
      </c>
      <c r="R79">
        <v>1</v>
      </c>
      <c r="S79">
        <v>1</v>
      </c>
    </row>
    <row r="80" spans="1:19" x14ac:dyDescent="0.25">
      <c r="A80" s="1">
        <v>0.62809616898148146</v>
      </c>
      <c r="B80" t="s">
        <v>2</v>
      </c>
      <c r="C80">
        <v>79</v>
      </c>
      <c r="D80">
        <v>0</v>
      </c>
      <c r="E80">
        <v>1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1</v>
      </c>
      <c r="M80">
        <v>1</v>
      </c>
      <c r="N80">
        <v>1</v>
      </c>
      <c r="O80">
        <v>1</v>
      </c>
      <c r="P80">
        <v>1</v>
      </c>
      <c r="Q80">
        <v>1</v>
      </c>
      <c r="R80">
        <v>1</v>
      </c>
      <c r="S80">
        <v>1</v>
      </c>
    </row>
    <row r="81" spans="1:19" x14ac:dyDescent="0.25">
      <c r="A81" s="1">
        <v>0.62809628472222223</v>
      </c>
      <c r="B81" t="s">
        <v>2</v>
      </c>
      <c r="C81">
        <v>80</v>
      </c>
      <c r="D81">
        <v>0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1</v>
      </c>
      <c r="M81">
        <v>1</v>
      </c>
      <c r="N81">
        <v>1</v>
      </c>
      <c r="O81">
        <v>1</v>
      </c>
      <c r="P81">
        <v>1</v>
      </c>
      <c r="Q81">
        <v>1</v>
      </c>
      <c r="R81">
        <v>1</v>
      </c>
      <c r="S81">
        <v>1</v>
      </c>
    </row>
    <row r="82" spans="1:19" x14ac:dyDescent="0.25">
      <c r="A82" s="1">
        <v>0.628096400462963</v>
      </c>
      <c r="B82" t="s">
        <v>2</v>
      </c>
      <c r="C82">
        <v>81</v>
      </c>
      <c r="D82">
        <v>0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1</v>
      </c>
      <c r="M82">
        <v>1</v>
      </c>
      <c r="N82">
        <v>1</v>
      </c>
      <c r="O82">
        <v>1</v>
      </c>
      <c r="P82">
        <v>1</v>
      </c>
      <c r="Q82">
        <v>1</v>
      </c>
      <c r="R82">
        <v>1</v>
      </c>
      <c r="S82">
        <v>1</v>
      </c>
    </row>
    <row r="83" spans="1:19" x14ac:dyDescent="0.25">
      <c r="A83" s="1">
        <v>0.62809651620370366</v>
      </c>
      <c r="B83" t="s">
        <v>2</v>
      </c>
      <c r="C83">
        <v>82</v>
      </c>
      <c r="D83">
        <v>0</v>
      </c>
      <c r="E83">
        <v>1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1</v>
      </c>
      <c r="M83">
        <v>1</v>
      </c>
      <c r="N83">
        <v>1</v>
      </c>
      <c r="O83">
        <v>1</v>
      </c>
      <c r="P83">
        <v>1</v>
      </c>
      <c r="Q83">
        <v>1</v>
      </c>
      <c r="R83">
        <v>1</v>
      </c>
      <c r="S83">
        <v>1</v>
      </c>
    </row>
    <row r="84" spans="1:19" x14ac:dyDescent="0.25">
      <c r="A84" s="1">
        <v>0.62809663194444443</v>
      </c>
      <c r="B84" t="s">
        <v>2</v>
      </c>
      <c r="C84">
        <v>83</v>
      </c>
      <c r="D84">
        <v>0</v>
      </c>
      <c r="E84">
        <v>1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1</v>
      </c>
      <c r="M84">
        <v>1</v>
      </c>
      <c r="N84">
        <v>1</v>
      </c>
      <c r="O84">
        <v>1</v>
      </c>
      <c r="P84">
        <v>1</v>
      </c>
      <c r="Q84">
        <v>1</v>
      </c>
      <c r="R84">
        <v>1</v>
      </c>
      <c r="S84">
        <v>1</v>
      </c>
    </row>
    <row r="85" spans="1:19" x14ac:dyDescent="0.25">
      <c r="A85" s="1">
        <v>0.6280967476851852</v>
      </c>
      <c r="B85" t="s">
        <v>2</v>
      </c>
      <c r="C85">
        <v>84</v>
      </c>
      <c r="D85">
        <v>0</v>
      </c>
      <c r="E85">
        <v>1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1</v>
      </c>
      <c r="M85">
        <v>1</v>
      </c>
      <c r="N85">
        <v>1</v>
      </c>
      <c r="O85">
        <v>1</v>
      </c>
      <c r="P85">
        <v>1</v>
      </c>
      <c r="Q85">
        <v>1</v>
      </c>
      <c r="R85">
        <v>1</v>
      </c>
      <c r="S85">
        <v>1</v>
      </c>
    </row>
    <row r="86" spans="1:19" x14ac:dyDescent="0.25">
      <c r="A86" s="1">
        <v>0.62809686342592597</v>
      </c>
      <c r="B86" t="s">
        <v>1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1</v>
      </c>
      <c r="M86">
        <v>1</v>
      </c>
      <c r="N86">
        <v>1</v>
      </c>
      <c r="O86">
        <v>1</v>
      </c>
      <c r="P86">
        <v>1</v>
      </c>
      <c r="Q86">
        <v>1</v>
      </c>
      <c r="R86">
        <v>1</v>
      </c>
      <c r="S86">
        <v>1</v>
      </c>
    </row>
    <row r="87" spans="1:19" x14ac:dyDescent="0.25">
      <c r="A87" s="1">
        <v>0.62809697916666662</v>
      </c>
      <c r="B87" t="s">
        <v>1</v>
      </c>
      <c r="C87">
        <v>86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</v>
      </c>
      <c r="M87">
        <v>1</v>
      </c>
      <c r="N87">
        <v>1</v>
      </c>
      <c r="O87">
        <v>1</v>
      </c>
      <c r="P87">
        <v>1</v>
      </c>
      <c r="Q87">
        <v>1</v>
      </c>
      <c r="R87">
        <v>1</v>
      </c>
      <c r="S87">
        <v>1</v>
      </c>
    </row>
    <row r="88" spans="1:19" x14ac:dyDescent="0.25">
      <c r="A88" s="1">
        <v>0.62809709490740739</v>
      </c>
      <c r="B88" t="s">
        <v>1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1</v>
      </c>
      <c r="M88">
        <v>1</v>
      </c>
      <c r="N88">
        <v>1</v>
      </c>
      <c r="O88">
        <v>1</v>
      </c>
      <c r="P88">
        <v>1</v>
      </c>
      <c r="Q88">
        <v>1</v>
      </c>
      <c r="R88">
        <v>1</v>
      </c>
      <c r="S88">
        <v>1</v>
      </c>
    </row>
    <row r="89" spans="1:19" x14ac:dyDescent="0.25">
      <c r="A89" s="1">
        <v>0.62809721064814816</v>
      </c>
      <c r="B89" t="s">
        <v>1</v>
      </c>
      <c r="C89">
        <v>88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1</v>
      </c>
      <c r="M89">
        <v>1</v>
      </c>
      <c r="N89">
        <v>1</v>
      </c>
      <c r="O89">
        <v>1</v>
      </c>
      <c r="P89">
        <v>1</v>
      </c>
      <c r="Q89">
        <v>1</v>
      </c>
      <c r="R89">
        <v>1</v>
      </c>
      <c r="S89">
        <v>1</v>
      </c>
    </row>
    <row r="90" spans="1:19" x14ac:dyDescent="0.25">
      <c r="A90" s="1">
        <v>0.62809732638888893</v>
      </c>
      <c r="B90" t="s">
        <v>1</v>
      </c>
      <c r="C90">
        <v>89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1</v>
      </c>
      <c r="M90">
        <v>1</v>
      </c>
      <c r="N90">
        <v>1</v>
      </c>
      <c r="O90">
        <v>1</v>
      </c>
      <c r="P90">
        <v>1</v>
      </c>
      <c r="Q90">
        <v>1</v>
      </c>
      <c r="R90">
        <v>1</v>
      </c>
      <c r="S90">
        <v>1</v>
      </c>
    </row>
    <row r="91" spans="1:19" x14ac:dyDescent="0.25">
      <c r="A91" s="1">
        <v>0.62809744212962959</v>
      </c>
      <c r="B91" t="s">
        <v>1</v>
      </c>
      <c r="C91">
        <v>90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1</v>
      </c>
      <c r="M91">
        <v>1</v>
      </c>
      <c r="N91">
        <v>1</v>
      </c>
      <c r="O91">
        <v>1</v>
      </c>
      <c r="P91">
        <v>1</v>
      </c>
      <c r="Q91">
        <v>1</v>
      </c>
      <c r="R91">
        <v>1</v>
      </c>
      <c r="S91">
        <v>1</v>
      </c>
    </row>
    <row r="92" spans="1:19" x14ac:dyDescent="0.25">
      <c r="A92" s="1">
        <v>0.62809755787037036</v>
      </c>
      <c r="B92" t="s">
        <v>1</v>
      </c>
      <c r="C92">
        <v>91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1</v>
      </c>
      <c r="M92">
        <v>1</v>
      </c>
      <c r="N92">
        <v>1</v>
      </c>
      <c r="O92">
        <v>1</v>
      </c>
      <c r="P92">
        <v>1</v>
      </c>
      <c r="Q92">
        <v>1</v>
      </c>
      <c r="R92">
        <v>1</v>
      </c>
      <c r="S92">
        <v>1</v>
      </c>
    </row>
    <row r="93" spans="1:19" x14ac:dyDescent="0.25">
      <c r="A93" s="1">
        <v>0.62809767361111113</v>
      </c>
      <c r="B93" t="s">
        <v>1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1</v>
      </c>
      <c r="M93">
        <v>1</v>
      </c>
      <c r="N93">
        <v>1</v>
      </c>
      <c r="O93">
        <v>1</v>
      </c>
      <c r="P93">
        <v>1</v>
      </c>
      <c r="Q93">
        <v>1</v>
      </c>
      <c r="R93">
        <v>1</v>
      </c>
      <c r="S93">
        <v>1</v>
      </c>
    </row>
    <row r="94" spans="1:19" x14ac:dyDescent="0.25">
      <c r="A94" s="1">
        <v>0.6280977893518519</v>
      </c>
      <c r="B94" t="s">
        <v>1</v>
      </c>
      <c r="C94">
        <v>93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1</v>
      </c>
      <c r="M94">
        <v>1</v>
      </c>
      <c r="N94">
        <v>1</v>
      </c>
      <c r="O94">
        <v>1</v>
      </c>
      <c r="P94">
        <v>1</v>
      </c>
      <c r="Q94">
        <v>1</v>
      </c>
      <c r="R94">
        <v>1</v>
      </c>
      <c r="S94">
        <v>1</v>
      </c>
    </row>
    <row r="95" spans="1:19" x14ac:dyDescent="0.25">
      <c r="A95" s="1">
        <v>0.62809790509259256</v>
      </c>
      <c r="B95" t="s">
        <v>1</v>
      </c>
      <c r="C95">
        <v>94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1</v>
      </c>
      <c r="M95">
        <v>1</v>
      </c>
      <c r="N95">
        <v>1</v>
      </c>
      <c r="O95">
        <v>1</v>
      </c>
      <c r="P95">
        <v>1</v>
      </c>
      <c r="Q95">
        <v>1</v>
      </c>
      <c r="R95">
        <v>1</v>
      </c>
      <c r="S95">
        <v>1</v>
      </c>
    </row>
    <row r="96" spans="1:19" x14ac:dyDescent="0.25">
      <c r="A96" s="1">
        <v>0.62809802083333333</v>
      </c>
      <c r="B96" t="s">
        <v>1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1</v>
      </c>
      <c r="M96">
        <v>1</v>
      </c>
      <c r="N96">
        <v>1</v>
      </c>
      <c r="O96">
        <v>1</v>
      </c>
      <c r="P96">
        <v>1</v>
      </c>
      <c r="Q96">
        <v>1</v>
      </c>
      <c r="R96">
        <v>1</v>
      </c>
      <c r="S96">
        <v>1</v>
      </c>
    </row>
    <row r="97" spans="1:19" x14ac:dyDescent="0.25">
      <c r="A97" s="1">
        <v>0.6280981365740741</v>
      </c>
      <c r="B97" t="s">
        <v>1</v>
      </c>
      <c r="C97">
        <v>96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1</v>
      </c>
      <c r="M97">
        <v>1</v>
      </c>
      <c r="N97">
        <v>1</v>
      </c>
      <c r="O97">
        <v>1</v>
      </c>
      <c r="P97">
        <v>1</v>
      </c>
      <c r="Q97">
        <v>1</v>
      </c>
      <c r="R97">
        <v>1</v>
      </c>
      <c r="S97">
        <v>1</v>
      </c>
    </row>
    <row r="98" spans="1:19" x14ac:dyDescent="0.25">
      <c r="A98" s="1">
        <v>0.62809825231481486</v>
      </c>
      <c r="B98" t="s">
        <v>1</v>
      </c>
      <c r="C98">
        <v>97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1</v>
      </c>
      <c r="M98">
        <v>1</v>
      </c>
      <c r="N98">
        <v>1</v>
      </c>
      <c r="O98">
        <v>1</v>
      </c>
      <c r="P98">
        <v>1</v>
      </c>
      <c r="Q98">
        <v>1</v>
      </c>
      <c r="R98">
        <v>1</v>
      </c>
      <c r="S98">
        <v>1</v>
      </c>
    </row>
    <row r="99" spans="1:19" x14ac:dyDescent="0.25">
      <c r="A99" s="1">
        <v>0.62809836805555552</v>
      </c>
      <c r="B99" t="s">
        <v>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1</v>
      </c>
      <c r="M99">
        <v>1</v>
      </c>
      <c r="N99">
        <v>1</v>
      </c>
      <c r="O99">
        <v>1</v>
      </c>
      <c r="P99">
        <v>1</v>
      </c>
      <c r="Q99">
        <v>1</v>
      </c>
      <c r="R99">
        <v>1</v>
      </c>
      <c r="S99">
        <v>1</v>
      </c>
    </row>
    <row r="100" spans="1:19" x14ac:dyDescent="0.25">
      <c r="A100" s="1">
        <v>0.62809848379629629</v>
      </c>
      <c r="B100" t="s">
        <v>1</v>
      </c>
      <c r="C100">
        <v>99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1</v>
      </c>
      <c r="M100">
        <v>1</v>
      </c>
      <c r="N100">
        <v>1</v>
      </c>
      <c r="O100">
        <v>1</v>
      </c>
      <c r="P100">
        <v>1</v>
      </c>
      <c r="Q100">
        <v>1</v>
      </c>
      <c r="R100">
        <v>1</v>
      </c>
      <c r="S100">
        <v>1</v>
      </c>
    </row>
    <row r="101" spans="1:19" x14ac:dyDescent="0.25">
      <c r="A101" s="1">
        <v>0.62809859953703706</v>
      </c>
      <c r="B101" t="s">
        <v>1</v>
      </c>
      <c r="C101">
        <v>100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1</v>
      </c>
      <c r="M101">
        <v>1</v>
      </c>
      <c r="N101">
        <v>1</v>
      </c>
      <c r="O101">
        <v>1</v>
      </c>
      <c r="P101">
        <v>1</v>
      </c>
      <c r="Q101">
        <v>1</v>
      </c>
      <c r="R101">
        <v>1</v>
      </c>
      <c r="S101">
        <v>1</v>
      </c>
    </row>
    <row r="102" spans="1:19" x14ac:dyDescent="0.25">
      <c r="A102" s="1">
        <v>0.62809871527777783</v>
      </c>
      <c r="B102" t="s">
        <v>1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1</v>
      </c>
      <c r="M102">
        <v>1</v>
      </c>
      <c r="N102">
        <v>1</v>
      </c>
      <c r="O102">
        <v>1</v>
      </c>
      <c r="P102">
        <v>1</v>
      </c>
      <c r="Q102">
        <v>1</v>
      </c>
      <c r="R102">
        <v>1</v>
      </c>
      <c r="S102">
        <v>1</v>
      </c>
    </row>
    <row r="103" spans="1:19" x14ac:dyDescent="0.25">
      <c r="A103" s="1">
        <v>0.62809881944444446</v>
      </c>
      <c r="B103" t="s">
        <v>1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1</v>
      </c>
      <c r="M103">
        <v>1</v>
      </c>
      <c r="N103">
        <v>1</v>
      </c>
      <c r="O103">
        <v>1</v>
      </c>
      <c r="P103">
        <v>1</v>
      </c>
      <c r="Q103">
        <v>1</v>
      </c>
      <c r="R103">
        <v>1</v>
      </c>
      <c r="S103">
        <v>1</v>
      </c>
    </row>
    <row r="104" spans="1:19" x14ac:dyDescent="0.25">
      <c r="A104" s="1">
        <v>0.62809894675925926</v>
      </c>
      <c r="B104" t="s">
        <v>1</v>
      </c>
      <c r="C104">
        <v>103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1</v>
      </c>
      <c r="M104">
        <v>1</v>
      </c>
      <c r="N104">
        <v>1</v>
      </c>
      <c r="O104">
        <v>1</v>
      </c>
      <c r="P104">
        <v>1</v>
      </c>
      <c r="Q104">
        <v>1</v>
      </c>
      <c r="R104">
        <v>1</v>
      </c>
      <c r="S104">
        <v>1</v>
      </c>
    </row>
    <row r="105" spans="1:19" x14ac:dyDescent="0.25">
      <c r="A105" s="1">
        <v>0.62809906250000003</v>
      </c>
      <c r="B105" t="s">
        <v>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1</v>
      </c>
      <c r="M105">
        <v>1</v>
      </c>
      <c r="N105">
        <v>1</v>
      </c>
      <c r="O105">
        <v>1</v>
      </c>
      <c r="P105">
        <v>1</v>
      </c>
      <c r="Q105">
        <v>1</v>
      </c>
      <c r="R105">
        <v>1</v>
      </c>
      <c r="S105">
        <v>1</v>
      </c>
    </row>
    <row r="106" spans="1:19" x14ac:dyDescent="0.25">
      <c r="A106" s="1">
        <v>0.62809917824074069</v>
      </c>
      <c r="B106" t="s">
        <v>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1</v>
      </c>
      <c r="M106">
        <v>1</v>
      </c>
      <c r="N106">
        <v>1</v>
      </c>
      <c r="O106">
        <v>1</v>
      </c>
      <c r="P106">
        <v>1</v>
      </c>
      <c r="Q106">
        <v>1</v>
      </c>
      <c r="R106">
        <v>1</v>
      </c>
      <c r="S106">
        <v>1</v>
      </c>
    </row>
    <row r="107" spans="1:19" x14ac:dyDescent="0.25">
      <c r="A107" s="1">
        <v>0.62809929398148145</v>
      </c>
      <c r="B107" t="s">
        <v>1</v>
      </c>
      <c r="C107">
        <v>106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1</v>
      </c>
      <c r="M107">
        <v>1</v>
      </c>
      <c r="N107">
        <v>1</v>
      </c>
      <c r="O107">
        <v>1</v>
      </c>
      <c r="P107">
        <v>1</v>
      </c>
      <c r="Q107">
        <v>1</v>
      </c>
      <c r="R107">
        <v>1</v>
      </c>
      <c r="S107">
        <v>1</v>
      </c>
    </row>
    <row r="108" spans="1:19" x14ac:dyDescent="0.25">
      <c r="A108" s="1">
        <v>0.62809940972222222</v>
      </c>
      <c r="B108" t="s">
        <v>1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1</v>
      </c>
      <c r="M108">
        <v>1</v>
      </c>
      <c r="N108">
        <v>1</v>
      </c>
      <c r="O108">
        <v>1</v>
      </c>
      <c r="P108">
        <v>1</v>
      </c>
      <c r="Q108">
        <v>1</v>
      </c>
      <c r="R108">
        <v>1</v>
      </c>
      <c r="S108">
        <v>1</v>
      </c>
    </row>
    <row r="109" spans="1:19" x14ac:dyDescent="0.25">
      <c r="A109" s="1">
        <v>0.62809951388888885</v>
      </c>
      <c r="B109" t="s">
        <v>1</v>
      </c>
      <c r="C109">
        <v>108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1</v>
      </c>
      <c r="M109">
        <v>1</v>
      </c>
      <c r="N109">
        <v>1</v>
      </c>
      <c r="O109">
        <v>1</v>
      </c>
      <c r="P109">
        <v>1</v>
      </c>
      <c r="Q109">
        <v>1</v>
      </c>
      <c r="R109">
        <v>1</v>
      </c>
      <c r="S109">
        <v>1</v>
      </c>
    </row>
    <row r="110" spans="1:19" x14ac:dyDescent="0.25">
      <c r="A110" s="1">
        <v>0.62809964120370365</v>
      </c>
      <c r="B110" t="s">
        <v>1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1</v>
      </c>
      <c r="M110">
        <v>1</v>
      </c>
      <c r="N110">
        <v>1</v>
      </c>
      <c r="O110">
        <v>1</v>
      </c>
      <c r="P110">
        <v>1</v>
      </c>
      <c r="Q110">
        <v>1</v>
      </c>
      <c r="R110">
        <v>1</v>
      </c>
      <c r="S110">
        <v>1</v>
      </c>
    </row>
    <row r="111" spans="1:19" x14ac:dyDescent="0.25">
      <c r="A111" s="1">
        <v>0.62809975694444442</v>
      </c>
      <c r="B111" t="s">
        <v>1</v>
      </c>
      <c r="C111">
        <v>110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1</v>
      </c>
      <c r="M111">
        <v>1</v>
      </c>
      <c r="N111">
        <v>1</v>
      </c>
      <c r="O111">
        <v>1</v>
      </c>
      <c r="P111">
        <v>1</v>
      </c>
      <c r="Q111">
        <v>1</v>
      </c>
      <c r="R111">
        <v>1</v>
      </c>
      <c r="S111">
        <v>1</v>
      </c>
    </row>
    <row r="112" spans="1:19" x14ac:dyDescent="0.25">
      <c r="A112" s="1">
        <v>0.62809986111111116</v>
      </c>
      <c r="B112" t="s">
        <v>1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1</v>
      </c>
      <c r="M112">
        <v>1</v>
      </c>
      <c r="N112">
        <v>1</v>
      </c>
      <c r="O112">
        <v>1</v>
      </c>
      <c r="P112">
        <v>1</v>
      </c>
      <c r="Q112">
        <v>1</v>
      </c>
      <c r="R112">
        <v>1</v>
      </c>
      <c r="S112">
        <v>1</v>
      </c>
    </row>
    <row r="113" spans="1:19" x14ac:dyDescent="0.25">
      <c r="A113" s="1">
        <v>0.62809997685185182</v>
      </c>
      <c r="B113" t="s">
        <v>1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1</v>
      </c>
      <c r="M113">
        <v>1</v>
      </c>
      <c r="N113">
        <v>1</v>
      </c>
      <c r="O113">
        <v>1</v>
      </c>
      <c r="P113">
        <v>1</v>
      </c>
      <c r="Q113">
        <v>1</v>
      </c>
      <c r="R113">
        <v>1</v>
      </c>
      <c r="S113">
        <v>1</v>
      </c>
    </row>
    <row r="114" spans="1:19" x14ac:dyDescent="0.25">
      <c r="A114" s="1">
        <v>0.62810010416666662</v>
      </c>
      <c r="B114" t="s">
        <v>1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1</v>
      </c>
      <c r="M114">
        <v>1</v>
      </c>
      <c r="N114">
        <v>1</v>
      </c>
      <c r="O114">
        <v>1</v>
      </c>
      <c r="P114">
        <v>1</v>
      </c>
      <c r="Q114">
        <v>1</v>
      </c>
      <c r="R114">
        <v>1</v>
      </c>
      <c r="S114">
        <v>1</v>
      </c>
    </row>
    <row r="115" spans="1:19" x14ac:dyDescent="0.25">
      <c r="A115" s="1">
        <v>0.62810020833333335</v>
      </c>
      <c r="B115" t="s">
        <v>1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1</v>
      </c>
      <c r="M115">
        <v>1</v>
      </c>
      <c r="N115">
        <v>1</v>
      </c>
      <c r="O115">
        <v>1</v>
      </c>
      <c r="P115">
        <v>1</v>
      </c>
      <c r="Q115">
        <v>1</v>
      </c>
      <c r="R115">
        <v>1</v>
      </c>
      <c r="S115">
        <v>1</v>
      </c>
    </row>
    <row r="116" spans="1:19" x14ac:dyDescent="0.25">
      <c r="A116" s="1">
        <v>0.62810033564814816</v>
      </c>
      <c r="B116" t="s">
        <v>1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1</v>
      </c>
      <c r="M116">
        <v>1</v>
      </c>
      <c r="N116">
        <v>1</v>
      </c>
      <c r="O116">
        <v>1</v>
      </c>
      <c r="P116">
        <v>1</v>
      </c>
      <c r="Q116">
        <v>1</v>
      </c>
      <c r="R116">
        <v>1</v>
      </c>
      <c r="S116">
        <v>1</v>
      </c>
    </row>
    <row r="117" spans="1:19" x14ac:dyDescent="0.25">
      <c r="A117" s="1">
        <v>0.62810043981481478</v>
      </c>
      <c r="B117" t="s">
        <v>1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1</v>
      </c>
      <c r="M117">
        <v>1</v>
      </c>
      <c r="N117">
        <v>1</v>
      </c>
      <c r="O117">
        <v>1</v>
      </c>
      <c r="P117">
        <v>1</v>
      </c>
      <c r="Q117">
        <v>1</v>
      </c>
      <c r="R117">
        <v>1</v>
      </c>
      <c r="S117">
        <v>1</v>
      </c>
    </row>
    <row r="118" spans="1:19" x14ac:dyDescent="0.25">
      <c r="A118" s="1">
        <v>0.62810067129629632</v>
      </c>
      <c r="B118" t="s">
        <v>1</v>
      </c>
      <c r="C118">
        <v>117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1</v>
      </c>
      <c r="M118">
        <v>1</v>
      </c>
      <c r="N118">
        <v>1</v>
      </c>
      <c r="O118">
        <v>1</v>
      </c>
      <c r="P118">
        <v>1</v>
      </c>
      <c r="Q118">
        <v>1</v>
      </c>
      <c r="R118">
        <v>1</v>
      </c>
      <c r="S118">
        <v>1</v>
      </c>
    </row>
    <row r="119" spans="1:19" x14ac:dyDescent="0.25">
      <c r="A119" s="1">
        <v>0.62810078703703709</v>
      </c>
      <c r="B119" t="s">
        <v>1</v>
      </c>
      <c r="C119">
        <v>118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1</v>
      </c>
      <c r="M119">
        <v>1</v>
      </c>
      <c r="N119">
        <v>1</v>
      </c>
      <c r="O119">
        <v>1</v>
      </c>
      <c r="P119">
        <v>1</v>
      </c>
      <c r="Q119">
        <v>1</v>
      </c>
      <c r="R119">
        <v>1</v>
      </c>
      <c r="S119">
        <v>1</v>
      </c>
    </row>
    <row r="120" spans="1:19" x14ac:dyDescent="0.25">
      <c r="A120" s="1">
        <v>0.62810090277777775</v>
      </c>
      <c r="B120" t="s">
        <v>1</v>
      </c>
      <c r="C120">
        <v>119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1</v>
      </c>
      <c r="M120">
        <v>1</v>
      </c>
      <c r="N120">
        <v>1</v>
      </c>
      <c r="O120">
        <v>1</v>
      </c>
      <c r="P120">
        <v>1</v>
      </c>
      <c r="Q120">
        <v>1</v>
      </c>
      <c r="R120">
        <v>1</v>
      </c>
      <c r="S120">
        <v>1</v>
      </c>
    </row>
    <row r="121" spans="1:19" x14ac:dyDescent="0.25">
      <c r="A121" s="1">
        <v>0.62810101851851852</v>
      </c>
      <c r="B121" t="s">
        <v>1</v>
      </c>
      <c r="C121">
        <v>120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1</v>
      </c>
      <c r="M121">
        <v>1</v>
      </c>
      <c r="N121">
        <v>1</v>
      </c>
      <c r="O121">
        <v>1</v>
      </c>
      <c r="P121">
        <v>1</v>
      </c>
      <c r="Q121">
        <v>1</v>
      </c>
      <c r="R121">
        <v>1</v>
      </c>
      <c r="S121">
        <v>1</v>
      </c>
    </row>
    <row r="122" spans="1:19" x14ac:dyDescent="0.25">
      <c r="A122" s="1">
        <v>0.62810113425925929</v>
      </c>
      <c r="B122" t="s">
        <v>1</v>
      </c>
      <c r="C122">
        <v>121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1</v>
      </c>
      <c r="M122">
        <v>1</v>
      </c>
      <c r="N122">
        <v>1</v>
      </c>
      <c r="O122">
        <v>1</v>
      </c>
      <c r="P122">
        <v>1</v>
      </c>
      <c r="Q122">
        <v>1</v>
      </c>
      <c r="R122">
        <v>1</v>
      </c>
      <c r="S122">
        <v>1</v>
      </c>
    </row>
    <row r="123" spans="1:19" x14ac:dyDescent="0.25">
      <c r="A123" s="1">
        <v>0.62810125000000006</v>
      </c>
      <c r="B123" t="s">
        <v>1</v>
      </c>
      <c r="C123">
        <v>122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1</v>
      </c>
      <c r="M123">
        <v>1</v>
      </c>
      <c r="N123">
        <v>1</v>
      </c>
      <c r="O123">
        <v>1</v>
      </c>
      <c r="P123">
        <v>1</v>
      </c>
      <c r="Q123">
        <v>1</v>
      </c>
      <c r="R123">
        <v>1</v>
      </c>
      <c r="S123">
        <v>1</v>
      </c>
    </row>
    <row r="124" spans="1:19" x14ac:dyDescent="0.25">
      <c r="A124" s="1">
        <v>0.62810136574074071</v>
      </c>
      <c r="B124" t="s">
        <v>1</v>
      </c>
      <c r="C124">
        <v>123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1</v>
      </c>
      <c r="M124">
        <v>1</v>
      </c>
      <c r="N124">
        <v>1</v>
      </c>
      <c r="O124">
        <v>1</v>
      </c>
      <c r="P124">
        <v>1</v>
      </c>
      <c r="Q124">
        <v>1</v>
      </c>
      <c r="R124">
        <v>1</v>
      </c>
      <c r="S124">
        <v>1</v>
      </c>
    </row>
    <row r="125" spans="1:19" x14ac:dyDescent="0.25">
      <c r="A125" s="1">
        <v>0.62810148148148148</v>
      </c>
      <c r="B125" t="s">
        <v>1</v>
      </c>
      <c r="C125">
        <v>124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1</v>
      </c>
      <c r="M125">
        <v>1</v>
      </c>
      <c r="N125">
        <v>1</v>
      </c>
      <c r="O125">
        <v>1</v>
      </c>
      <c r="P125">
        <v>1</v>
      </c>
      <c r="Q125">
        <v>1</v>
      </c>
      <c r="R125">
        <v>1</v>
      </c>
      <c r="S125">
        <v>1</v>
      </c>
    </row>
    <row r="126" spans="1:19" x14ac:dyDescent="0.25">
      <c r="A126" s="1">
        <v>0.62810159722222225</v>
      </c>
      <c r="B126" t="s">
        <v>1</v>
      </c>
      <c r="C126">
        <v>125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1</v>
      </c>
      <c r="M126">
        <v>1</v>
      </c>
      <c r="N126">
        <v>1</v>
      </c>
      <c r="O126">
        <v>1</v>
      </c>
      <c r="P126">
        <v>1</v>
      </c>
      <c r="Q126">
        <v>1</v>
      </c>
      <c r="R126">
        <v>1</v>
      </c>
      <c r="S126">
        <v>1</v>
      </c>
    </row>
    <row r="127" spans="1:19" x14ac:dyDescent="0.25">
      <c r="A127" s="1">
        <v>0.62810171296296291</v>
      </c>
      <c r="B127" t="s">
        <v>1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1</v>
      </c>
      <c r="M127">
        <v>1</v>
      </c>
      <c r="N127">
        <v>1</v>
      </c>
      <c r="O127">
        <v>1</v>
      </c>
      <c r="P127">
        <v>1</v>
      </c>
      <c r="Q127">
        <v>1</v>
      </c>
      <c r="R127">
        <v>1</v>
      </c>
      <c r="S127">
        <v>1</v>
      </c>
    </row>
    <row r="128" spans="1:19" x14ac:dyDescent="0.25">
      <c r="A128" s="1">
        <v>0.62810182870370368</v>
      </c>
      <c r="B128" t="s">
        <v>1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1</v>
      </c>
      <c r="M128">
        <v>1</v>
      </c>
      <c r="N128">
        <v>1</v>
      </c>
      <c r="O128">
        <v>1</v>
      </c>
      <c r="P128">
        <v>1</v>
      </c>
      <c r="Q128">
        <v>1</v>
      </c>
      <c r="R128">
        <v>1</v>
      </c>
      <c r="S128">
        <v>1</v>
      </c>
    </row>
    <row r="129" spans="1:19" x14ac:dyDescent="0.25">
      <c r="A129" s="1">
        <v>0.62810194444444445</v>
      </c>
      <c r="B129" t="s">
        <v>1</v>
      </c>
      <c r="C129">
        <v>128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1</v>
      </c>
      <c r="M129">
        <v>1</v>
      </c>
      <c r="N129">
        <v>1</v>
      </c>
      <c r="O129">
        <v>1</v>
      </c>
      <c r="P129">
        <v>1</v>
      </c>
      <c r="Q129">
        <v>1</v>
      </c>
      <c r="R129">
        <v>1</v>
      </c>
      <c r="S129">
        <v>1</v>
      </c>
    </row>
    <row r="130" spans="1:19" x14ac:dyDescent="0.25">
      <c r="A130" s="1">
        <v>0.62810206018518522</v>
      </c>
      <c r="B130" t="s">
        <v>1</v>
      </c>
      <c r="C130">
        <v>129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1</v>
      </c>
      <c r="M130">
        <v>1</v>
      </c>
      <c r="N130">
        <v>1</v>
      </c>
      <c r="O130">
        <v>1</v>
      </c>
      <c r="P130">
        <v>1</v>
      </c>
      <c r="Q130">
        <v>1</v>
      </c>
      <c r="R130">
        <v>1</v>
      </c>
      <c r="S130">
        <v>1</v>
      </c>
    </row>
    <row r="131" spans="1:19" x14ac:dyDescent="0.25">
      <c r="A131" s="1">
        <v>0.62810217592592588</v>
      </c>
      <c r="B131" t="s">
        <v>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1</v>
      </c>
      <c r="M131">
        <v>1</v>
      </c>
      <c r="N131">
        <v>1</v>
      </c>
      <c r="O131">
        <v>1</v>
      </c>
      <c r="P131">
        <v>1</v>
      </c>
      <c r="Q131">
        <v>1</v>
      </c>
      <c r="R131">
        <v>1</v>
      </c>
      <c r="S131">
        <v>1</v>
      </c>
    </row>
    <row r="132" spans="1:19" x14ac:dyDescent="0.25">
      <c r="A132" s="1">
        <v>0.62810229166666665</v>
      </c>
      <c r="B132" t="s">
        <v>1</v>
      </c>
      <c r="C132">
        <v>131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1</v>
      </c>
      <c r="M132">
        <v>1</v>
      </c>
      <c r="N132">
        <v>1</v>
      </c>
      <c r="O132">
        <v>1</v>
      </c>
      <c r="P132">
        <v>1</v>
      </c>
      <c r="Q132">
        <v>1</v>
      </c>
      <c r="R132">
        <v>1</v>
      </c>
      <c r="S132">
        <v>1</v>
      </c>
    </row>
    <row r="133" spans="1:19" x14ac:dyDescent="0.25">
      <c r="A133" s="1">
        <v>0.62810240740740741</v>
      </c>
      <c r="B133" t="s">
        <v>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1</v>
      </c>
      <c r="M133">
        <v>1</v>
      </c>
      <c r="N133">
        <v>1</v>
      </c>
      <c r="O133">
        <v>1</v>
      </c>
      <c r="P133">
        <v>1</v>
      </c>
      <c r="Q133">
        <v>1</v>
      </c>
      <c r="R133">
        <v>1</v>
      </c>
      <c r="S133">
        <v>1</v>
      </c>
    </row>
    <row r="134" spans="1:19" x14ac:dyDescent="0.25">
      <c r="A134" s="1">
        <v>0.62810252314814818</v>
      </c>
      <c r="B134" t="s">
        <v>1</v>
      </c>
      <c r="C134">
        <v>133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1</v>
      </c>
      <c r="M134">
        <v>1</v>
      </c>
      <c r="N134">
        <v>1</v>
      </c>
      <c r="O134">
        <v>1</v>
      </c>
      <c r="P134">
        <v>1</v>
      </c>
      <c r="Q134">
        <v>1</v>
      </c>
      <c r="R134">
        <v>1</v>
      </c>
      <c r="S134">
        <v>1</v>
      </c>
    </row>
    <row r="135" spans="1:19" x14ac:dyDescent="0.25">
      <c r="A135" s="1">
        <v>0.62810263888888884</v>
      </c>
      <c r="B135" t="s">
        <v>1</v>
      </c>
      <c r="C135">
        <v>134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1</v>
      </c>
      <c r="M135">
        <v>1</v>
      </c>
      <c r="N135">
        <v>1</v>
      </c>
      <c r="O135">
        <v>1</v>
      </c>
      <c r="P135">
        <v>1</v>
      </c>
      <c r="Q135">
        <v>1</v>
      </c>
      <c r="R135">
        <v>1</v>
      </c>
      <c r="S135">
        <v>1</v>
      </c>
    </row>
    <row r="136" spans="1:19" x14ac:dyDescent="0.25">
      <c r="A136" s="1">
        <v>0.62810275462962961</v>
      </c>
      <c r="B136" t="s">
        <v>1</v>
      </c>
      <c r="C136">
        <v>135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1</v>
      </c>
      <c r="M136">
        <v>1</v>
      </c>
      <c r="N136">
        <v>1</v>
      </c>
      <c r="O136">
        <v>1</v>
      </c>
      <c r="P136">
        <v>1</v>
      </c>
      <c r="Q136">
        <v>1</v>
      </c>
      <c r="R136">
        <v>1</v>
      </c>
      <c r="S136">
        <v>1</v>
      </c>
    </row>
    <row r="137" spans="1:19" x14ac:dyDescent="0.25">
      <c r="A137" s="1">
        <v>0.62810287037037038</v>
      </c>
      <c r="B137" t="s">
        <v>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1</v>
      </c>
      <c r="M137">
        <v>1</v>
      </c>
      <c r="N137">
        <v>1</v>
      </c>
      <c r="O137">
        <v>1</v>
      </c>
      <c r="P137">
        <v>1</v>
      </c>
      <c r="Q137">
        <v>1</v>
      </c>
      <c r="R137">
        <v>1</v>
      </c>
      <c r="S137">
        <v>1</v>
      </c>
    </row>
    <row r="138" spans="1:19" x14ac:dyDescent="0.25">
      <c r="A138" s="1">
        <v>0.62810298611111115</v>
      </c>
      <c r="B138" t="s">
        <v>2</v>
      </c>
      <c r="C138">
        <v>137</v>
      </c>
      <c r="D138">
        <v>0</v>
      </c>
      <c r="E138">
        <v>1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1</v>
      </c>
      <c r="Q138">
        <v>1</v>
      </c>
      <c r="R138">
        <v>1</v>
      </c>
      <c r="S138">
        <v>1</v>
      </c>
    </row>
    <row r="139" spans="1:19" x14ac:dyDescent="0.25">
      <c r="A139" s="1">
        <v>0.62810310185185181</v>
      </c>
      <c r="B139" t="s">
        <v>2</v>
      </c>
      <c r="C139">
        <v>138</v>
      </c>
      <c r="D139">
        <v>0</v>
      </c>
      <c r="E139">
        <v>1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1</v>
      </c>
      <c r="M139">
        <v>1</v>
      </c>
      <c r="N139">
        <v>1</v>
      </c>
      <c r="O139">
        <v>1</v>
      </c>
      <c r="P139">
        <v>1</v>
      </c>
      <c r="Q139">
        <v>1</v>
      </c>
      <c r="R139">
        <v>1</v>
      </c>
      <c r="S139">
        <v>1</v>
      </c>
    </row>
    <row r="140" spans="1:19" x14ac:dyDescent="0.25">
      <c r="A140" s="1">
        <v>0.62810321759259258</v>
      </c>
      <c r="B140" t="s">
        <v>2</v>
      </c>
      <c r="C140">
        <v>139</v>
      </c>
      <c r="D140">
        <v>0</v>
      </c>
      <c r="E140">
        <v>1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1</v>
      </c>
      <c r="Q140">
        <v>1</v>
      </c>
      <c r="R140">
        <v>1</v>
      </c>
      <c r="S140">
        <v>1</v>
      </c>
    </row>
    <row r="141" spans="1:19" x14ac:dyDescent="0.25">
      <c r="A141" s="1">
        <v>0.62810333333333335</v>
      </c>
      <c r="B141" t="s">
        <v>2</v>
      </c>
      <c r="C141">
        <v>140</v>
      </c>
      <c r="D141">
        <v>0</v>
      </c>
      <c r="E141">
        <v>1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1</v>
      </c>
      <c r="M141">
        <v>1</v>
      </c>
      <c r="N141">
        <v>1</v>
      </c>
      <c r="O141">
        <v>1</v>
      </c>
      <c r="P141">
        <v>1</v>
      </c>
      <c r="Q141">
        <v>1</v>
      </c>
      <c r="R141">
        <v>1</v>
      </c>
      <c r="S141">
        <v>1</v>
      </c>
    </row>
    <row r="142" spans="1:19" x14ac:dyDescent="0.25">
      <c r="A142" s="1">
        <v>0.62810344907407412</v>
      </c>
      <c r="B142" t="s">
        <v>2</v>
      </c>
      <c r="C142">
        <v>141</v>
      </c>
      <c r="D142">
        <v>0</v>
      </c>
      <c r="E142">
        <v>1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1</v>
      </c>
      <c r="M142">
        <v>1</v>
      </c>
      <c r="N142">
        <v>1</v>
      </c>
      <c r="O142">
        <v>1</v>
      </c>
      <c r="P142">
        <v>1</v>
      </c>
      <c r="Q142">
        <v>1</v>
      </c>
      <c r="R142">
        <v>1</v>
      </c>
      <c r="S142">
        <v>1</v>
      </c>
    </row>
    <row r="143" spans="1:19" x14ac:dyDescent="0.25">
      <c r="A143" s="1">
        <v>0.62810356481481477</v>
      </c>
      <c r="B143" t="s">
        <v>2</v>
      </c>
      <c r="C143">
        <v>142</v>
      </c>
      <c r="D143">
        <v>0</v>
      </c>
      <c r="E143">
        <v>1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1</v>
      </c>
      <c r="M143">
        <v>1</v>
      </c>
      <c r="N143">
        <v>1</v>
      </c>
      <c r="O143">
        <v>1</v>
      </c>
      <c r="P143">
        <v>1</v>
      </c>
      <c r="Q143">
        <v>1</v>
      </c>
      <c r="R143">
        <v>1</v>
      </c>
      <c r="S143">
        <v>1</v>
      </c>
    </row>
    <row r="144" spans="1:19" x14ac:dyDescent="0.25">
      <c r="A144" s="1">
        <v>0.62810368055555554</v>
      </c>
      <c r="B144" t="s">
        <v>2</v>
      </c>
      <c r="C144">
        <v>143</v>
      </c>
      <c r="D144">
        <v>0</v>
      </c>
      <c r="E144">
        <v>1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1</v>
      </c>
      <c r="M144">
        <v>1</v>
      </c>
      <c r="N144">
        <v>1</v>
      </c>
      <c r="O144">
        <v>1</v>
      </c>
      <c r="P144">
        <v>1</v>
      </c>
      <c r="Q144">
        <v>1</v>
      </c>
      <c r="R144">
        <v>1</v>
      </c>
      <c r="S144">
        <v>1</v>
      </c>
    </row>
    <row r="145" spans="1:19" x14ac:dyDescent="0.25">
      <c r="A145" s="1">
        <v>0.62810379629629631</v>
      </c>
      <c r="B145" t="s">
        <v>1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1</v>
      </c>
      <c r="M145">
        <v>1</v>
      </c>
      <c r="N145">
        <v>1</v>
      </c>
      <c r="O145">
        <v>1</v>
      </c>
      <c r="P145">
        <v>1</v>
      </c>
      <c r="Q145">
        <v>1</v>
      </c>
      <c r="R145">
        <v>1</v>
      </c>
      <c r="S145">
        <v>1</v>
      </c>
    </row>
    <row r="146" spans="1:19" x14ac:dyDescent="0.25">
      <c r="A146" s="1">
        <v>0.62810391203703708</v>
      </c>
      <c r="B146" t="s">
        <v>1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1</v>
      </c>
      <c r="M146">
        <v>1</v>
      </c>
      <c r="N146">
        <v>1</v>
      </c>
      <c r="O146">
        <v>1</v>
      </c>
      <c r="P146">
        <v>1</v>
      </c>
      <c r="Q146">
        <v>1</v>
      </c>
      <c r="R146">
        <v>1</v>
      </c>
      <c r="S146">
        <v>1</v>
      </c>
    </row>
    <row r="147" spans="1:19" x14ac:dyDescent="0.25">
      <c r="A147" s="1">
        <v>0.62810402777777774</v>
      </c>
      <c r="B147" t="s">
        <v>1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1</v>
      </c>
      <c r="M147">
        <v>1</v>
      </c>
      <c r="N147">
        <v>1</v>
      </c>
      <c r="O147">
        <v>1</v>
      </c>
      <c r="P147">
        <v>1</v>
      </c>
      <c r="Q147">
        <v>1</v>
      </c>
      <c r="R147">
        <v>1</v>
      </c>
      <c r="S147">
        <v>1</v>
      </c>
    </row>
    <row r="148" spans="1:19" x14ac:dyDescent="0.25">
      <c r="A148" s="1">
        <v>0.62810414351851851</v>
      </c>
      <c r="B148" t="s">
        <v>1</v>
      </c>
      <c r="C148">
        <v>147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1</v>
      </c>
      <c r="M148">
        <v>1</v>
      </c>
      <c r="N148">
        <v>1</v>
      </c>
      <c r="O148">
        <v>1</v>
      </c>
      <c r="P148">
        <v>1</v>
      </c>
      <c r="Q148">
        <v>1</v>
      </c>
      <c r="R148">
        <v>1</v>
      </c>
      <c r="S148">
        <v>1</v>
      </c>
    </row>
    <row r="149" spans="1:19" x14ac:dyDescent="0.25">
      <c r="A149" s="1">
        <v>0.62810425925925928</v>
      </c>
      <c r="B149" t="s">
        <v>1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1</v>
      </c>
      <c r="M149">
        <v>1</v>
      </c>
      <c r="N149">
        <v>1</v>
      </c>
      <c r="O149">
        <v>1</v>
      </c>
      <c r="P149">
        <v>1</v>
      </c>
      <c r="Q149">
        <v>1</v>
      </c>
      <c r="R149">
        <v>1</v>
      </c>
      <c r="S149">
        <v>1</v>
      </c>
    </row>
    <row r="150" spans="1:19" x14ac:dyDescent="0.25">
      <c r="A150" s="1">
        <v>0.62810437500000005</v>
      </c>
      <c r="B150" t="s">
        <v>1</v>
      </c>
      <c r="C150">
        <v>149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1</v>
      </c>
      <c r="M150">
        <v>1</v>
      </c>
      <c r="N150">
        <v>1</v>
      </c>
      <c r="O150">
        <v>1</v>
      </c>
      <c r="P150">
        <v>1</v>
      </c>
      <c r="Q150">
        <v>1</v>
      </c>
      <c r="R150">
        <v>1</v>
      </c>
      <c r="S150">
        <v>1</v>
      </c>
    </row>
    <row r="151" spans="1:19" x14ac:dyDescent="0.25">
      <c r="A151" s="1">
        <v>0.62810449074074071</v>
      </c>
      <c r="B151" t="s">
        <v>1</v>
      </c>
      <c r="C151">
        <v>150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1</v>
      </c>
      <c r="M151">
        <v>1</v>
      </c>
      <c r="N151">
        <v>1</v>
      </c>
      <c r="O151">
        <v>1</v>
      </c>
      <c r="P151">
        <v>1</v>
      </c>
      <c r="Q151">
        <v>1</v>
      </c>
      <c r="R151">
        <v>1</v>
      </c>
      <c r="S151">
        <v>1</v>
      </c>
    </row>
    <row r="152" spans="1:19" x14ac:dyDescent="0.25">
      <c r="A152" s="1">
        <v>0.62810460648148148</v>
      </c>
      <c r="B152" t="s">
        <v>1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1</v>
      </c>
      <c r="M152">
        <v>1</v>
      </c>
      <c r="N152">
        <v>1</v>
      </c>
      <c r="O152">
        <v>1</v>
      </c>
      <c r="P152">
        <v>1</v>
      </c>
      <c r="Q152">
        <v>1</v>
      </c>
      <c r="R152">
        <v>1</v>
      </c>
      <c r="S152">
        <v>1</v>
      </c>
    </row>
    <row r="153" spans="1:19" x14ac:dyDescent="0.25">
      <c r="A153" s="1">
        <v>0.62810472222222224</v>
      </c>
      <c r="B153" t="s">
        <v>1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1</v>
      </c>
      <c r="M153">
        <v>1</v>
      </c>
      <c r="N153">
        <v>1</v>
      </c>
      <c r="O153">
        <v>1</v>
      </c>
      <c r="P153">
        <v>1</v>
      </c>
      <c r="Q153">
        <v>1</v>
      </c>
      <c r="R153">
        <v>1</v>
      </c>
      <c r="S153">
        <v>1</v>
      </c>
    </row>
    <row r="154" spans="1:19" x14ac:dyDescent="0.25">
      <c r="A154" s="1">
        <v>0.62810483796296301</v>
      </c>
      <c r="B154" t="s">
        <v>1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1</v>
      </c>
      <c r="M154">
        <v>1</v>
      </c>
      <c r="N154">
        <v>1</v>
      </c>
      <c r="O154">
        <v>1</v>
      </c>
      <c r="P154">
        <v>1</v>
      </c>
      <c r="Q154">
        <v>1</v>
      </c>
      <c r="R154">
        <v>1</v>
      </c>
      <c r="S154">
        <v>1</v>
      </c>
    </row>
    <row r="155" spans="1:19" x14ac:dyDescent="0.25">
      <c r="A155" s="1">
        <v>0.62810495370370367</v>
      </c>
      <c r="B155" t="s">
        <v>1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1</v>
      </c>
      <c r="M155">
        <v>1</v>
      </c>
      <c r="N155">
        <v>1</v>
      </c>
      <c r="O155">
        <v>1</v>
      </c>
      <c r="P155">
        <v>1</v>
      </c>
      <c r="Q155">
        <v>1</v>
      </c>
      <c r="R155">
        <v>1</v>
      </c>
      <c r="S155">
        <v>1</v>
      </c>
    </row>
    <row r="156" spans="1:19" x14ac:dyDescent="0.25">
      <c r="A156" s="1">
        <v>0.62810506944444444</v>
      </c>
      <c r="B156" t="s">
        <v>1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1</v>
      </c>
      <c r="M156">
        <v>1</v>
      </c>
      <c r="N156">
        <v>1</v>
      </c>
      <c r="O156">
        <v>1</v>
      </c>
      <c r="P156">
        <v>1</v>
      </c>
      <c r="Q156">
        <v>1</v>
      </c>
      <c r="R156">
        <v>1</v>
      </c>
      <c r="S156">
        <v>1</v>
      </c>
    </row>
    <row r="157" spans="1:19" x14ac:dyDescent="0.25">
      <c r="A157" s="1">
        <v>0.62810518518518521</v>
      </c>
      <c r="B157" t="s">
        <v>1</v>
      </c>
      <c r="C157">
        <v>156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1</v>
      </c>
      <c r="M157">
        <v>1</v>
      </c>
      <c r="N157">
        <v>1</v>
      </c>
      <c r="O157">
        <v>1</v>
      </c>
      <c r="P157">
        <v>1</v>
      </c>
      <c r="Q157">
        <v>1</v>
      </c>
      <c r="R157">
        <v>1</v>
      </c>
      <c r="S157">
        <v>1</v>
      </c>
    </row>
    <row r="158" spans="1:19" x14ac:dyDescent="0.25">
      <c r="A158" s="1">
        <v>0.62810530092592598</v>
      </c>
      <c r="B158" t="s">
        <v>1</v>
      </c>
      <c r="C158">
        <v>157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1</v>
      </c>
      <c r="M158">
        <v>1</v>
      </c>
      <c r="N158">
        <v>1</v>
      </c>
      <c r="O158">
        <v>1</v>
      </c>
      <c r="P158">
        <v>1</v>
      </c>
      <c r="Q158">
        <v>1</v>
      </c>
      <c r="R158">
        <v>1</v>
      </c>
      <c r="S158">
        <v>1</v>
      </c>
    </row>
    <row r="159" spans="1:19" x14ac:dyDescent="0.25">
      <c r="A159" s="1">
        <v>0.62810541666666664</v>
      </c>
      <c r="B159" t="s">
        <v>1</v>
      </c>
      <c r="C159">
        <v>158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1</v>
      </c>
      <c r="M159">
        <v>1</v>
      </c>
      <c r="N159">
        <v>1</v>
      </c>
      <c r="O159">
        <v>1</v>
      </c>
      <c r="P159">
        <v>1</v>
      </c>
      <c r="Q159">
        <v>1</v>
      </c>
      <c r="R159">
        <v>1</v>
      </c>
      <c r="S159">
        <v>1</v>
      </c>
    </row>
    <row r="160" spans="1:19" x14ac:dyDescent="0.25">
      <c r="A160" s="1">
        <v>0.62810553240740741</v>
      </c>
      <c r="B160" t="s">
        <v>1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1</v>
      </c>
      <c r="Q160">
        <v>1</v>
      </c>
      <c r="R160">
        <v>1</v>
      </c>
      <c r="S160">
        <v>1</v>
      </c>
    </row>
    <row r="161" spans="1:19" x14ac:dyDescent="0.25">
      <c r="A161" s="1">
        <v>0.62810564814814818</v>
      </c>
      <c r="B161" t="s">
        <v>1</v>
      </c>
      <c r="C161">
        <v>160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1</v>
      </c>
      <c r="M161">
        <v>1</v>
      </c>
      <c r="N161">
        <v>1</v>
      </c>
      <c r="O161">
        <v>1</v>
      </c>
      <c r="P161">
        <v>1</v>
      </c>
      <c r="Q161">
        <v>1</v>
      </c>
      <c r="R161">
        <v>1</v>
      </c>
      <c r="S161">
        <v>1</v>
      </c>
    </row>
    <row r="162" spans="1:19" x14ac:dyDescent="0.25">
      <c r="A162" s="1">
        <v>0.62810576388888884</v>
      </c>
      <c r="B162" t="s">
        <v>1</v>
      </c>
      <c r="C162">
        <v>161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1</v>
      </c>
      <c r="M162">
        <v>1</v>
      </c>
      <c r="N162">
        <v>1</v>
      </c>
      <c r="O162">
        <v>1</v>
      </c>
      <c r="P162">
        <v>1</v>
      </c>
      <c r="Q162">
        <v>1</v>
      </c>
      <c r="R162">
        <v>1</v>
      </c>
      <c r="S162">
        <v>1</v>
      </c>
    </row>
    <row r="163" spans="1:19" x14ac:dyDescent="0.25">
      <c r="A163" s="1">
        <v>0.6281058796296296</v>
      </c>
      <c r="B163" t="s">
        <v>1</v>
      </c>
      <c r="C163">
        <v>162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1</v>
      </c>
      <c r="M163">
        <v>1</v>
      </c>
      <c r="N163">
        <v>1</v>
      </c>
      <c r="O163">
        <v>1</v>
      </c>
      <c r="P163">
        <v>1</v>
      </c>
      <c r="Q163">
        <v>1</v>
      </c>
      <c r="R163">
        <v>1</v>
      </c>
      <c r="S163">
        <v>1</v>
      </c>
    </row>
    <row r="164" spans="1:19" x14ac:dyDescent="0.25">
      <c r="A164" s="1">
        <v>0.62810599537037037</v>
      </c>
      <c r="B164" t="s">
        <v>1</v>
      </c>
      <c r="C164">
        <v>163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1</v>
      </c>
      <c r="M164">
        <v>1</v>
      </c>
      <c r="N164">
        <v>1</v>
      </c>
      <c r="O164">
        <v>1</v>
      </c>
      <c r="P164">
        <v>1</v>
      </c>
      <c r="Q164">
        <v>1</v>
      </c>
      <c r="R164">
        <v>1</v>
      </c>
      <c r="S164">
        <v>1</v>
      </c>
    </row>
    <row r="165" spans="1:19" x14ac:dyDescent="0.25">
      <c r="A165" s="1">
        <v>0.62810611111111114</v>
      </c>
      <c r="B165" t="s">
        <v>1</v>
      </c>
      <c r="C165">
        <v>164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1</v>
      </c>
      <c r="M165">
        <v>1</v>
      </c>
      <c r="N165">
        <v>1</v>
      </c>
      <c r="O165">
        <v>1</v>
      </c>
      <c r="P165">
        <v>1</v>
      </c>
      <c r="Q165">
        <v>1</v>
      </c>
      <c r="R165">
        <v>1</v>
      </c>
      <c r="S165">
        <v>1</v>
      </c>
    </row>
    <row r="166" spans="1:19" x14ac:dyDescent="0.25">
      <c r="A166" s="1">
        <v>0.6281062268518518</v>
      </c>
      <c r="B166" t="s">
        <v>1</v>
      </c>
      <c r="C166">
        <v>165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1</v>
      </c>
      <c r="M166">
        <v>1</v>
      </c>
      <c r="N166">
        <v>1</v>
      </c>
      <c r="O166">
        <v>1</v>
      </c>
      <c r="P166">
        <v>1</v>
      </c>
      <c r="Q166">
        <v>1</v>
      </c>
      <c r="R166">
        <v>1</v>
      </c>
      <c r="S166">
        <v>1</v>
      </c>
    </row>
    <row r="167" spans="1:19" x14ac:dyDescent="0.25">
      <c r="A167" s="1">
        <v>0.62810634259259257</v>
      </c>
      <c r="B167" t="s">
        <v>1</v>
      </c>
      <c r="C167">
        <v>166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1</v>
      </c>
      <c r="M167">
        <v>1</v>
      </c>
      <c r="N167">
        <v>1</v>
      </c>
      <c r="O167">
        <v>1</v>
      </c>
      <c r="P167">
        <v>1</v>
      </c>
      <c r="Q167">
        <v>1</v>
      </c>
      <c r="R167">
        <v>1</v>
      </c>
      <c r="S167">
        <v>1</v>
      </c>
    </row>
    <row r="168" spans="1:19" x14ac:dyDescent="0.25">
      <c r="A168" s="1">
        <v>0.62810645833333334</v>
      </c>
      <c r="B168" t="s">
        <v>1</v>
      </c>
      <c r="C168">
        <v>167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1</v>
      </c>
      <c r="M168">
        <v>1</v>
      </c>
      <c r="N168">
        <v>1</v>
      </c>
      <c r="O168">
        <v>1</v>
      </c>
      <c r="P168">
        <v>1</v>
      </c>
      <c r="Q168">
        <v>1</v>
      </c>
      <c r="R168">
        <v>1</v>
      </c>
      <c r="S168">
        <v>1</v>
      </c>
    </row>
    <row r="169" spans="1:19" x14ac:dyDescent="0.25">
      <c r="A169" s="1">
        <v>0.62810656249999997</v>
      </c>
      <c r="B169" t="s">
        <v>1</v>
      </c>
      <c r="C169">
        <v>168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1</v>
      </c>
      <c r="M169">
        <v>1</v>
      </c>
      <c r="N169">
        <v>1</v>
      </c>
      <c r="O169">
        <v>1</v>
      </c>
      <c r="P169">
        <v>1</v>
      </c>
      <c r="Q169">
        <v>1</v>
      </c>
      <c r="R169">
        <v>1</v>
      </c>
      <c r="S169">
        <v>1</v>
      </c>
    </row>
    <row r="170" spans="1:19" x14ac:dyDescent="0.25">
      <c r="A170" s="1">
        <v>0.62810667824074073</v>
      </c>
      <c r="B170" t="s">
        <v>1</v>
      </c>
      <c r="C170">
        <v>169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1</v>
      </c>
      <c r="M170">
        <v>1</v>
      </c>
      <c r="N170">
        <v>1</v>
      </c>
      <c r="O170">
        <v>1</v>
      </c>
      <c r="P170">
        <v>1</v>
      </c>
      <c r="Q170">
        <v>1</v>
      </c>
      <c r="R170">
        <v>1</v>
      </c>
      <c r="S170">
        <v>1</v>
      </c>
    </row>
    <row r="171" spans="1:19" x14ac:dyDescent="0.25">
      <c r="A171" s="1">
        <v>0.6281067939814815</v>
      </c>
      <c r="B171" t="s">
        <v>1</v>
      </c>
      <c r="C171">
        <v>170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1</v>
      </c>
      <c r="M171">
        <v>1</v>
      </c>
      <c r="N171">
        <v>1</v>
      </c>
      <c r="O171">
        <v>1</v>
      </c>
      <c r="P171">
        <v>1</v>
      </c>
      <c r="Q171">
        <v>1</v>
      </c>
      <c r="R171">
        <v>1</v>
      </c>
      <c r="S171">
        <v>1</v>
      </c>
    </row>
    <row r="172" spans="1:19" x14ac:dyDescent="0.25">
      <c r="A172" s="1">
        <v>0.62810692129629631</v>
      </c>
      <c r="B172" t="s">
        <v>1</v>
      </c>
      <c r="C172">
        <v>171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1</v>
      </c>
      <c r="M172">
        <v>1</v>
      </c>
      <c r="N172">
        <v>1</v>
      </c>
      <c r="O172">
        <v>1</v>
      </c>
      <c r="P172">
        <v>1</v>
      </c>
      <c r="Q172">
        <v>1</v>
      </c>
      <c r="R172">
        <v>1</v>
      </c>
      <c r="S172">
        <v>1</v>
      </c>
    </row>
    <row r="173" spans="1:19" x14ac:dyDescent="0.25">
      <c r="A173" s="1">
        <v>0.62810702546296293</v>
      </c>
      <c r="B173" t="s">
        <v>1</v>
      </c>
      <c r="C173">
        <v>172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1</v>
      </c>
      <c r="M173">
        <v>1</v>
      </c>
      <c r="N173">
        <v>1</v>
      </c>
      <c r="O173">
        <v>1</v>
      </c>
      <c r="P173">
        <v>1</v>
      </c>
      <c r="Q173">
        <v>1</v>
      </c>
      <c r="R173">
        <v>1</v>
      </c>
      <c r="S173">
        <v>1</v>
      </c>
    </row>
    <row r="174" spans="1:19" x14ac:dyDescent="0.25">
      <c r="A174" s="1">
        <v>0.62810715277777773</v>
      </c>
      <c r="B174" t="s">
        <v>1</v>
      </c>
      <c r="C174">
        <v>173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1</v>
      </c>
      <c r="M174">
        <v>1</v>
      </c>
      <c r="N174">
        <v>1</v>
      </c>
      <c r="O174">
        <v>1</v>
      </c>
      <c r="P174">
        <v>1</v>
      </c>
      <c r="Q174">
        <v>1</v>
      </c>
      <c r="R174">
        <v>1</v>
      </c>
      <c r="S174">
        <v>1</v>
      </c>
    </row>
    <row r="175" spans="1:19" x14ac:dyDescent="0.25">
      <c r="A175" s="1">
        <v>0.62810725694444447</v>
      </c>
      <c r="B175" t="s">
        <v>1</v>
      </c>
      <c r="C175">
        <v>174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1</v>
      </c>
      <c r="M175">
        <v>1</v>
      </c>
      <c r="N175">
        <v>1</v>
      </c>
      <c r="O175">
        <v>1</v>
      </c>
      <c r="P175">
        <v>1</v>
      </c>
      <c r="Q175">
        <v>1</v>
      </c>
      <c r="R175">
        <v>1</v>
      </c>
      <c r="S175">
        <v>1</v>
      </c>
    </row>
    <row r="176" spans="1:19" x14ac:dyDescent="0.25">
      <c r="A176" s="1">
        <v>0.62810737268518524</v>
      </c>
      <c r="B176" t="s">
        <v>1</v>
      </c>
      <c r="C176">
        <v>175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1</v>
      </c>
      <c r="M176">
        <v>1</v>
      </c>
      <c r="N176">
        <v>1</v>
      </c>
      <c r="O176">
        <v>1</v>
      </c>
      <c r="P176">
        <v>1</v>
      </c>
      <c r="Q176">
        <v>1</v>
      </c>
      <c r="R176">
        <v>1</v>
      </c>
      <c r="S176">
        <v>1</v>
      </c>
    </row>
    <row r="177" spans="1:19" x14ac:dyDescent="0.25">
      <c r="A177" s="1">
        <v>0.62810750000000004</v>
      </c>
      <c r="B177" t="s">
        <v>1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1</v>
      </c>
      <c r="M177">
        <v>1</v>
      </c>
      <c r="N177">
        <v>1</v>
      </c>
      <c r="O177">
        <v>1</v>
      </c>
      <c r="P177">
        <v>1</v>
      </c>
      <c r="Q177">
        <v>1</v>
      </c>
      <c r="R177">
        <v>1</v>
      </c>
      <c r="S177">
        <v>1</v>
      </c>
    </row>
    <row r="178" spans="1:19" x14ac:dyDescent="0.25">
      <c r="A178" s="1">
        <v>0.62810760416666667</v>
      </c>
      <c r="B178" t="s">
        <v>1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1</v>
      </c>
      <c r="M178">
        <v>1</v>
      </c>
      <c r="N178">
        <v>1</v>
      </c>
      <c r="O178">
        <v>1</v>
      </c>
      <c r="P178">
        <v>1</v>
      </c>
      <c r="Q178">
        <v>1</v>
      </c>
      <c r="R178">
        <v>1</v>
      </c>
      <c r="S178">
        <v>1</v>
      </c>
    </row>
    <row r="179" spans="1:19" x14ac:dyDescent="0.25">
      <c r="A179" s="1">
        <v>0.62810773148148147</v>
      </c>
      <c r="B179" t="s">
        <v>1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1</v>
      </c>
      <c r="M179">
        <v>1</v>
      </c>
      <c r="N179">
        <v>1</v>
      </c>
      <c r="O179">
        <v>1</v>
      </c>
      <c r="P179">
        <v>1</v>
      </c>
      <c r="Q179">
        <v>1</v>
      </c>
      <c r="R179">
        <v>1</v>
      </c>
      <c r="S179">
        <v>1</v>
      </c>
    </row>
    <row r="180" spans="1:19" x14ac:dyDescent="0.25">
      <c r="A180" s="1">
        <v>0.62810784722222224</v>
      </c>
      <c r="B180" t="s">
        <v>1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1</v>
      </c>
      <c r="M180">
        <v>1</v>
      </c>
      <c r="N180">
        <v>1</v>
      </c>
      <c r="O180">
        <v>1</v>
      </c>
      <c r="P180">
        <v>1</v>
      </c>
      <c r="Q180">
        <v>1</v>
      </c>
      <c r="R180">
        <v>1</v>
      </c>
      <c r="S180">
        <v>1</v>
      </c>
    </row>
    <row r="181" spans="1:19" x14ac:dyDescent="0.25">
      <c r="A181" s="1">
        <v>0.62810795138888886</v>
      </c>
      <c r="B181" t="s">
        <v>1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1</v>
      </c>
      <c r="M181">
        <v>1</v>
      </c>
      <c r="N181">
        <v>1</v>
      </c>
      <c r="O181">
        <v>1</v>
      </c>
      <c r="P181">
        <v>1</v>
      </c>
      <c r="Q181">
        <v>1</v>
      </c>
      <c r="R181">
        <v>1</v>
      </c>
      <c r="S181">
        <v>1</v>
      </c>
    </row>
    <row r="182" spans="1:19" x14ac:dyDescent="0.25">
      <c r="A182" s="1">
        <v>0.62810806712962963</v>
      </c>
      <c r="B182" t="s">
        <v>1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1</v>
      </c>
      <c r="M182">
        <v>1</v>
      </c>
      <c r="N182">
        <v>1</v>
      </c>
      <c r="O182">
        <v>1</v>
      </c>
      <c r="P182">
        <v>1</v>
      </c>
      <c r="Q182">
        <v>1</v>
      </c>
      <c r="R182">
        <v>1</v>
      </c>
      <c r="S182">
        <v>1</v>
      </c>
    </row>
    <row r="183" spans="1:19" x14ac:dyDescent="0.25">
      <c r="A183" s="1">
        <v>0.6281081828703704</v>
      </c>
      <c r="B183" t="s">
        <v>1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1</v>
      </c>
      <c r="M183">
        <v>1</v>
      </c>
      <c r="N183">
        <v>1</v>
      </c>
      <c r="O183">
        <v>1</v>
      </c>
      <c r="P183">
        <v>1</v>
      </c>
      <c r="Q183">
        <v>1</v>
      </c>
      <c r="R183">
        <v>1</v>
      </c>
      <c r="S183">
        <v>1</v>
      </c>
    </row>
    <row r="184" spans="1:19" x14ac:dyDescent="0.25">
      <c r="A184" s="1">
        <v>0.62810829861111106</v>
      </c>
      <c r="B184" t="s">
        <v>1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1</v>
      </c>
      <c r="M184">
        <v>1</v>
      </c>
      <c r="N184">
        <v>1</v>
      </c>
      <c r="O184">
        <v>1</v>
      </c>
      <c r="P184">
        <v>1</v>
      </c>
      <c r="Q184">
        <v>1</v>
      </c>
      <c r="R184">
        <v>1</v>
      </c>
      <c r="S184">
        <v>1</v>
      </c>
    </row>
    <row r="185" spans="1:19" x14ac:dyDescent="0.25">
      <c r="A185" s="1">
        <v>0.62810841435185183</v>
      </c>
      <c r="B185" t="s">
        <v>1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1</v>
      </c>
      <c r="M185">
        <v>1</v>
      </c>
      <c r="N185">
        <v>1</v>
      </c>
      <c r="O185">
        <v>1</v>
      </c>
      <c r="P185">
        <v>1</v>
      </c>
      <c r="Q185">
        <v>1</v>
      </c>
      <c r="R185">
        <v>1</v>
      </c>
      <c r="S185">
        <v>1</v>
      </c>
    </row>
    <row r="186" spans="1:19" x14ac:dyDescent="0.25">
      <c r="A186" s="1">
        <v>0.6281085300925926</v>
      </c>
      <c r="B186" t="s">
        <v>1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1</v>
      </c>
      <c r="M186">
        <v>1</v>
      </c>
      <c r="N186">
        <v>1</v>
      </c>
      <c r="O186">
        <v>1</v>
      </c>
      <c r="P186">
        <v>1</v>
      </c>
      <c r="Q186">
        <v>1</v>
      </c>
      <c r="R186">
        <v>1</v>
      </c>
      <c r="S186">
        <v>1</v>
      </c>
    </row>
    <row r="187" spans="1:19" x14ac:dyDescent="0.25">
      <c r="A187" s="1">
        <v>0.6281086574074074</v>
      </c>
      <c r="B187" t="s">
        <v>1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1</v>
      </c>
      <c r="M187">
        <v>1</v>
      </c>
      <c r="N187">
        <v>1</v>
      </c>
      <c r="O187">
        <v>1</v>
      </c>
      <c r="P187">
        <v>1</v>
      </c>
      <c r="Q187">
        <v>1</v>
      </c>
      <c r="R187">
        <v>1</v>
      </c>
      <c r="S187">
        <v>1</v>
      </c>
    </row>
    <row r="188" spans="1:19" x14ac:dyDescent="0.25">
      <c r="A188" s="1">
        <v>0.62810876157407403</v>
      </c>
      <c r="B188" t="s">
        <v>1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1</v>
      </c>
      <c r="M188">
        <v>1</v>
      </c>
      <c r="N188">
        <v>1</v>
      </c>
      <c r="O188">
        <v>1</v>
      </c>
      <c r="P188">
        <v>1</v>
      </c>
      <c r="Q188">
        <v>1</v>
      </c>
      <c r="R188">
        <v>1</v>
      </c>
      <c r="S188">
        <v>1</v>
      </c>
    </row>
    <row r="189" spans="1:19" x14ac:dyDescent="0.25">
      <c r="A189" s="1">
        <v>0.6281088773148148</v>
      </c>
      <c r="B189" t="s">
        <v>1</v>
      </c>
      <c r="C189">
        <v>188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1</v>
      </c>
      <c r="M189">
        <v>1</v>
      </c>
      <c r="N189">
        <v>1</v>
      </c>
      <c r="O189">
        <v>1</v>
      </c>
      <c r="P189">
        <v>1</v>
      </c>
      <c r="Q189">
        <v>1</v>
      </c>
      <c r="R189">
        <v>1</v>
      </c>
      <c r="S189">
        <v>1</v>
      </c>
    </row>
    <row r="190" spans="1:19" x14ac:dyDescent="0.25">
      <c r="A190" s="1">
        <v>0.62810899305555556</v>
      </c>
      <c r="B190" t="s">
        <v>1</v>
      </c>
      <c r="C190">
        <v>189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1</v>
      </c>
      <c r="M190">
        <v>1</v>
      </c>
      <c r="N190">
        <v>1</v>
      </c>
      <c r="O190">
        <v>1</v>
      </c>
      <c r="P190">
        <v>1</v>
      </c>
      <c r="Q190">
        <v>1</v>
      </c>
      <c r="R190">
        <v>1</v>
      </c>
      <c r="S190">
        <v>1</v>
      </c>
    </row>
    <row r="191" spans="1:19" x14ac:dyDescent="0.25">
      <c r="A191" s="1">
        <v>0.62810910879629633</v>
      </c>
      <c r="B191" t="s">
        <v>1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1</v>
      </c>
      <c r="M191">
        <v>1</v>
      </c>
      <c r="N191">
        <v>1</v>
      </c>
      <c r="O191">
        <v>1</v>
      </c>
      <c r="P191">
        <v>1</v>
      </c>
      <c r="Q191">
        <v>1</v>
      </c>
      <c r="R191">
        <v>1</v>
      </c>
      <c r="S191">
        <v>1</v>
      </c>
    </row>
    <row r="192" spans="1:19" x14ac:dyDescent="0.25">
      <c r="A192" s="1">
        <v>0.62810922453703699</v>
      </c>
      <c r="B192" t="s">
        <v>1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1</v>
      </c>
      <c r="M192">
        <v>1</v>
      </c>
      <c r="N192">
        <v>1</v>
      </c>
      <c r="O192">
        <v>1</v>
      </c>
      <c r="P192">
        <v>1</v>
      </c>
      <c r="Q192">
        <v>1</v>
      </c>
      <c r="R192">
        <v>1</v>
      </c>
      <c r="S192">
        <v>1</v>
      </c>
    </row>
    <row r="193" spans="1:19" x14ac:dyDescent="0.25">
      <c r="A193" s="1">
        <v>0.62810934027777776</v>
      </c>
      <c r="B193" t="s">
        <v>1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1</v>
      </c>
      <c r="M193">
        <v>1</v>
      </c>
      <c r="N193">
        <v>1</v>
      </c>
      <c r="O193">
        <v>1</v>
      </c>
      <c r="P193">
        <v>1</v>
      </c>
      <c r="Q193">
        <v>1</v>
      </c>
      <c r="R193">
        <v>1</v>
      </c>
      <c r="S193">
        <v>1</v>
      </c>
    </row>
    <row r="194" spans="1:19" x14ac:dyDescent="0.25">
      <c r="A194" s="1">
        <v>0.62810945601851853</v>
      </c>
      <c r="B194" t="s">
        <v>1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1</v>
      </c>
      <c r="M194">
        <v>1</v>
      </c>
      <c r="N194">
        <v>1</v>
      </c>
      <c r="O194">
        <v>1</v>
      </c>
      <c r="P194">
        <v>1</v>
      </c>
      <c r="Q194">
        <v>1</v>
      </c>
      <c r="R194">
        <v>1</v>
      </c>
      <c r="S194">
        <v>1</v>
      </c>
    </row>
    <row r="195" spans="1:19" x14ac:dyDescent="0.25">
      <c r="A195" s="1">
        <v>0.6281095717592593</v>
      </c>
      <c r="B195" t="s">
        <v>1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1</v>
      </c>
      <c r="M195">
        <v>1</v>
      </c>
      <c r="N195">
        <v>1</v>
      </c>
      <c r="O195">
        <v>1</v>
      </c>
      <c r="P195">
        <v>1</v>
      </c>
      <c r="Q195">
        <v>1</v>
      </c>
      <c r="R195">
        <v>1</v>
      </c>
      <c r="S195">
        <v>1</v>
      </c>
    </row>
    <row r="196" spans="1:19" x14ac:dyDescent="0.25">
      <c r="A196" s="1">
        <v>0.62810968749999996</v>
      </c>
      <c r="B196" t="s">
        <v>1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1</v>
      </c>
      <c r="M196">
        <v>1</v>
      </c>
      <c r="N196">
        <v>1</v>
      </c>
      <c r="O196">
        <v>1</v>
      </c>
      <c r="P196">
        <v>1</v>
      </c>
      <c r="Q196">
        <v>1</v>
      </c>
      <c r="R196">
        <v>1</v>
      </c>
      <c r="S196">
        <v>1</v>
      </c>
    </row>
    <row r="197" spans="1:19" x14ac:dyDescent="0.25">
      <c r="A197" s="1">
        <v>0.62810980324074073</v>
      </c>
      <c r="B197" t="s">
        <v>1</v>
      </c>
      <c r="C197">
        <v>196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1</v>
      </c>
      <c r="M197">
        <v>1</v>
      </c>
      <c r="N197">
        <v>1</v>
      </c>
      <c r="O197">
        <v>1</v>
      </c>
      <c r="P197">
        <v>1</v>
      </c>
      <c r="Q197">
        <v>1</v>
      </c>
      <c r="R197">
        <v>1</v>
      </c>
      <c r="S197">
        <v>1</v>
      </c>
    </row>
    <row r="198" spans="1:19" x14ac:dyDescent="0.25">
      <c r="A198" s="1">
        <v>0.6281099189814815</v>
      </c>
      <c r="B198" t="s">
        <v>2</v>
      </c>
      <c r="C198">
        <v>197</v>
      </c>
      <c r="D198">
        <v>0</v>
      </c>
      <c r="E198">
        <v>1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1</v>
      </c>
      <c r="M198">
        <v>1</v>
      </c>
      <c r="N198">
        <v>1</v>
      </c>
      <c r="O198">
        <v>1</v>
      </c>
      <c r="P198">
        <v>1</v>
      </c>
      <c r="Q198">
        <v>1</v>
      </c>
      <c r="R198">
        <v>1</v>
      </c>
      <c r="S198">
        <v>1</v>
      </c>
    </row>
    <row r="199" spans="1:19" x14ac:dyDescent="0.25">
      <c r="A199" s="1">
        <v>0.62811003472222227</v>
      </c>
      <c r="B199" t="s">
        <v>2</v>
      </c>
      <c r="C199">
        <v>198</v>
      </c>
      <c r="D199">
        <v>0</v>
      </c>
      <c r="E199">
        <v>1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1</v>
      </c>
      <c r="M199">
        <v>1</v>
      </c>
      <c r="N199">
        <v>1</v>
      </c>
      <c r="O199">
        <v>1</v>
      </c>
      <c r="P199">
        <v>1</v>
      </c>
      <c r="Q199">
        <v>1</v>
      </c>
      <c r="R199">
        <v>1</v>
      </c>
      <c r="S199">
        <v>1</v>
      </c>
    </row>
    <row r="200" spans="1:19" x14ac:dyDescent="0.25">
      <c r="A200" s="1">
        <v>0.62811015046296292</v>
      </c>
      <c r="B200" t="s">
        <v>2</v>
      </c>
      <c r="C200">
        <v>199</v>
      </c>
      <c r="D200">
        <v>0</v>
      </c>
      <c r="E200">
        <v>1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1</v>
      </c>
      <c r="M200">
        <v>1</v>
      </c>
      <c r="N200">
        <v>1</v>
      </c>
      <c r="O200">
        <v>1</v>
      </c>
      <c r="P200">
        <v>1</v>
      </c>
      <c r="Q200">
        <v>1</v>
      </c>
      <c r="R200">
        <v>1</v>
      </c>
      <c r="S200">
        <v>1</v>
      </c>
    </row>
    <row r="201" spans="1:19" x14ac:dyDescent="0.25">
      <c r="A201" s="1">
        <v>0.62811026620370369</v>
      </c>
      <c r="B201" t="s">
        <v>2</v>
      </c>
      <c r="C201">
        <v>200</v>
      </c>
      <c r="D201">
        <v>0</v>
      </c>
      <c r="E201">
        <v>1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1</v>
      </c>
      <c r="M201">
        <v>1</v>
      </c>
      <c r="N201">
        <v>1</v>
      </c>
      <c r="O201">
        <v>1</v>
      </c>
      <c r="P201">
        <v>1</v>
      </c>
      <c r="Q201">
        <v>1</v>
      </c>
      <c r="R201">
        <v>1</v>
      </c>
      <c r="S201">
        <v>1</v>
      </c>
    </row>
    <row r="202" spans="1:19" x14ac:dyDescent="0.25">
      <c r="A202" s="1">
        <v>0.62811038194444446</v>
      </c>
      <c r="B202" t="s">
        <v>2</v>
      </c>
      <c r="C202">
        <v>201</v>
      </c>
      <c r="D202">
        <v>0</v>
      </c>
      <c r="E202">
        <v>1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1</v>
      </c>
      <c r="M202">
        <v>1</v>
      </c>
      <c r="N202">
        <v>1</v>
      </c>
      <c r="O202">
        <v>1</v>
      </c>
      <c r="P202">
        <v>1</v>
      </c>
      <c r="Q202">
        <v>1</v>
      </c>
      <c r="R202">
        <v>1</v>
      </c>
      <c r="S202">
        <v>1</v>
      </c>
    </row>
    <row r="203" spans="1:19" x14ac:dyDescent="0.25">
      <c r="A203" s="1">
        <v>0.62811049768518523</v>
      </c>
      <c r="B203" t="s">
        <v>2</v>
      </c>
      <c r="C203">
        <v>202</v>
      </c>
      <c r="D203">
        <v>0</v>
      </c>
      <c r="E203">
        <v>1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1</v>
      </c>
      <c r="M203">
        <v>1</v>
      </c>
      <c r="N203">
        <v>1</v>
      </c>
      <c r="O203">
        <v>1</v>
      </c>
      <c r="P203">
        <v>1</v>
      </c>
      <c r="Q203">
        <v>1</v>
      </c>
      <c r="R203">
        <v>1</v>
      </c>
      <c r="S203">
        <v>1</v>
      </c>
    </row>
    <row r="204" spans="1:19" x14ac:dyDescent="0.25">
      <c r="A204" s="1">
        <v>0.62811061342592589</v>
      </c>
      <c r="B204" t="s">
        <v>2</v>
      </c>
      <c r="C204">
        <v>203</v>
      </c>
      <c r="D204">
        <v>0</v>
      </c>
      <c r="E204">
        <v>1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1</v>
      </c>
      <c r="M204">
        <v>1</v>
      </c>
      <c r="N204">
        <v>1</v>
      </c>
      <c r="O204">
        <v>1</v>
      </c>
      <c r="P204">
        <v>1</v>
      </c>
      <c r="Q204">
        <v>1</v>
      </c>
      <c r="R204">
        <v>1</v>
      </c>
      <c r="S204">
        <v>1</v>
      </c>
    </row>
    <row r="205" spans="1:19" x14ac:dyDescent="0.25">
      <c r="A205" s="1">
        <v>0.62811072916666666</v>
      </c>
      <c r="B205" t="s">
        <v>1</v>
      </c>
      <c r="C205">
        <v>204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1</v>
      </c>
      <c r="M205">
        <v>1</v>
      </c>
      <c r="N205">
        <v>1</v>
      </c>
      <c r="O205">
        <v>1</v>
      </c>
      <c r="P205">
        <v>1</v>
      </c>
      <c r="Q205">
        <v>1</v>
      </c>
      <c r="R205">
        <v>1</v>
      </c>
      <c r="S205">
        <v>1</v>
      </c>
    </row>
    <row r="206" spans="1:19" x14ac:dyDescent="0.25">
      <c r="A206" s="1">
        <v>0.62811084490740743</v>
      </c>
      <c r="B206" t="s">
        <v>1</v>
      </c>
      <c r="C206">
        <v>205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1</v>
      </c>
      <c r="M206">
        <v>1</v>
      </c>
      <c r="N206">
        <v>1</v>
      </c>
      <c r="O206">
        <v>1</v>
      </c>
      <c r="P206">
        <v>1</v>
      </c>
      <c r="Q206">
        <v>1</v>
      </c>
      <c r="R206">
        <v>1</v>
      </c>
      <c r="S206">
        <v>1</v>
      </c>
    </row>
    <row r="207" spans="1:19" x14ac:dyDescent="0.25">
      <c r="A207" s="1">
        <v>0.6281109606481482</v>
      </c>
      <c r="B207" t="s">
        <v>1</v>
      </c>
      <c r="C207">
        <v>206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1</v>
      </c>
      <c r="M207">
        <v>1</v>
      </c>
      <c r="N207">
        <v>1</v>
      </c>
      <c r="O207">
        <v>1</v>
      </c>
      <c r="P207">
        <v>1</v>
      </c>
      <c r="Q207">
        <v>1</v>
      </c>
      <c r="R207">
        <v>1</v>
      </c>
      <c r="S207">
        <v>1</v>
      </c>
    </row>
    <row r="208" spans="1:19" x14ac:dyDescent="0.25">
      <c r="A208" s="1">
        <v>0.62811107638888886</v>
      </c>
      <c r="B208" t="s">
        <v>1</v>
      </c>
      <c r="C208">
        <v>207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1</v>
      </c>
      <c r="M208">
        <v>1</v>
      </c>
      <c r="N208">
        <v>1</v>
      </c>
      <c r="O208">
        <v>1</v>
      </c>
      <c r="P208">
        <v>1</v>
      </c>
      <c r="Q208">
        <v>1</v>
      </c>
      <c r="R208">
        <v>1</v>
      </c>
      <c r="S208">
        <v>1</v>
      </c>
    </row>
    <row r="209" spans="1:19" x14ac:dyDescent="0.25">
      <c r="A209" s="1">
        <v>0.62811119212962963</v>
      </c>
      <c r="B209" t="s">
        <v>1</v>
      </c>
      <c r="C209">
        <v>208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1</v>
      </c>
      <c r="M209">
        <v>1</v>
      </c>
      <c r="N209">
        <v>1</v>
      </c>
      <c r="O209">
        <v>1</v>
      </c>
      <c r="P209">
        <v>1</v>
      </c>
      <c r="Q209">
        <v>1</v>
      </c>
      <c r="R209">
        <v>1</v>
      </c>
      <c r="S209">
        <v>1</v>
      </c>
    </row>
    <row r="210" spans="1:19" x14ac:dyDescent="0.25">
      <c r="A210" s="1">
        <v>0.62811130787037039</v>
      </c>
      <c r="B210" t="s">
        <v>1</v>
      </c>
      <c r="C210">
        <v>209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1</v>
      </c>
      <c r="M210">
        <v>1</v>
      </c>
      <c r="N210">
        <v>1</v>
      </c>
      <c r="O210">
        <v>1</v>
      </c>
      <c r="P210">
        <v>1</v>
      </c>
      <c r="Q210">
        <v>1</v>
      </c>
      <c r="R210">
        <v>1</v>
      </c>
      <c r="S210">
        <v>1</v>
      </c>
    </row>
    <row r="211" spans="1:19" x14ac:dyDescent="0.25">
      <c r="A211" s="1">
        <v>0.62811142361111116</v>
      </c>
      <c r="B211" t="s">
        <v>1</v>
      </c>
      <c r="C211">
        <v>210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1</v>
      </c>
      <c r="M211">
        <v>1</v>
      </c>
      <c r="N211">
        <v>1</v>
      </c>
      <c r="O211">
        <v>1</v>
      </c>
      <c r="P211">
        <v>1</v>
      </c>
      <c r="Q211">
        <v>1</v>
      </c>
      <c r="R211">
        <v>1</v>
      </c>
      <c r="S211">
        <v>1</v>
      </c>
    </row>
    <row r="212" spans="1:19" x14ac:dyDescent="0.25">
      <c r="A212" s="1">
        <v>0.62811153935185182</v>
      </c>
      <c r="B212" t="s">
        <v>1</v>
      </c>
      <c r="C212">
        <v>211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1</v>
      </c>
      <c r="M212">
        <v>1</v>
      </c>
      <c r="N212">
        <v>1</v>
      </c>
      <c r="O212">
        <v>1</v>
      </c>
      <c r="P212">
        <v>1</v>
      </c>
      <c r="Q212">
        <v>1</v>
      </c>
      <c r="R212">
        <v>1</v>
      </c>
      <c r="S212">
        <v>1</v>
      </c>
    </row>
    <row r="213" spans="1:19" x14ac:dyDescent="0.25">
      <c r="A213" s="1">
        <v>0.62811165509259259</v>
      </c>
      <c r="B213" t="s">
        <v>1</v>
      </c>
      <c r="C213">
        <v>212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1</v>
      </c>
      <c r="M213">
        <v>1</v>
      </c>
      <c r="N213">
        <v>1</v>
      </c>
      <c r="O213">
        <v>1</v>
      </c>
      <c r="P213">
        <v>1</v>
      </c>
      <c r="Q213">
        <v>1</v>
      </c>
      <c r="R213">
        <v>1</v>
      </c>
      <c r="S213">
        <v>1</v>
      </c>
    </row>
    <row r="214" spans="1:19" x14ac:dyDescent="0.25">
      <c r="A214" s="1">
        <v>0.62811177083333336</v>
      </c>
      <c r="B214" t="s">
        <v>1</v>
      </c>
      <c r="C214">
        <v>213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1</v>
      </c>
      <c r="M214">
        <v>1</v>
      </c>
      <c r="N214">
        <v>1</v>
      </c>
      <c r="O214">
        <v>1</v>
      </c>
      <c r="P214">
        <v>1</v>
      </c>
      <c r="Q214">
        <v>1</v>
      </c>
      <c r="R214">
        <v>1</v>
      </c>
      <c r="S214">
        <v>1</v>
      </c>
    </row>
    <row r="215" spans="1:19" x14ac:dyDescent="0.25">
      <c r="A215" s="1">
        <v>0.62811188657407402</v>
      </c>
      <c r="B215" t="s">
        <v>1</v>
      </c>
      <c r="C215">
        <v>214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1</v>
      </c>
      <c r="M215">
        <v>1</v>
      </c>
      <c r="N215">
        <v>1</v>
      </c>
      <c r="O215">
        <v>1</v>
      </c>
      <c r="P215">
        <v>1</v>
      </c>
      <c r="Q215">
        <v>1</v>
      </c>
      <c r="R215">
        <v>1</v>
      </c>
      <c r="S215">
        <v>1</v>
      </c>
    </row>
    <row r="216" spans="1:19" x14ac:dyDescent="0.25">
      <c r="A216" s="1">
        <v>0.62811200231481479</v>
      </c>
      <c r="B216" t="s">
        <v>1</v>
      </c>
      <c r="C216">
        <v>215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1</v>
      </c>
      <c r="M216">
        <v>1</v>
      </c>
      <c r="N216">
        <v>1</v>
      </c>
      <c r="O216">
        <v>1</v>
      </c>
      <c r="P216">
        <v>1</v>
      </c>
      <c r="Q216">
        <v>1</v>
      </c>
      <c r="R216">
        <v>1</v>
      </c>
      <c r="S216">
        <v>1</v>
      </c>
    </row>
    <row r="217" spans="1:19" x14ac:dyDescent="0.25">
      <c r="A217" s="1">
        <v>0.62811223379629633</v>
      </c>
      <c r="B217" t="s">
        <v>1</v>
      </c>
      <c r="C217">
        <v>216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1</v>
      </c>
      <c r="M217">
        <v>1</v>
      </c>
      <c r="N217">
        <v>1</v>
      </c>
      <c r="O217">
        <v>1</v>
      </c>
      <c r="P217">
        <v>1</v>
      </c>
      <c r="Q217">
        <v>1</v>
      </c>
      <c r="R217">
        <v>1</v>
      </c>
      <c r="S217">
        <v>1</v>
      </c>
    </row>
    <row r="218" spans="1:19" x14ac:dyDescent="0.25">
      <c r="A218" s="1">
        <v>0.62811234953703698</v>
      </c>
      <c r="B218" t="s">
        <v>1</v>
      </c>
      <c r="C218">
        <v>217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1</v>
      </c>
      <c r="M218">
        <v>1</v>
      </c>
      <c r="N218">
        <v>1</v>
      </c>
      <c r="O218">
        <v>1</v>
      </c>
      <c r="P218">
        <v>1</v>
      </c>
      <c r="Q218">
        <v>1</v>
      </c>
      <c r="R218">
        <v>1</v>
      </c>
      <c r="S218">
        <v>1</v>
      </c>
    </row>
    <row r="219" spans="1:19" x14ac:dyDescent="0.25">
      <c r="A219" s="1">
        <v>0.62811246527777775</v>
      </c>
      <c r="B219" t="s">
        <v>1</v>
      </c>
      <c r="C219">
        <v>218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1</v>
      </c>
      <c r="M219">
        <v>1</v>
      </c>
      <c r="N219">
        <v>1</v>
      </c>
      <c r="O219">
        <v>1</v>
      </c>
      <c r="P219">
        <v>1</v>
      </c>
      <c r="Q219">
        <v>1</v>
      </c>
      <c r="R219">
        <v>1</v>
      </c>
      <c r="S219">
        <v>1</v>
      </c>
    </row>
    <row r="220" spans="1:19" x14ac:dyDescent="0.25">
      <c r="A220" s="1">
        <v>0.62811258101851852</v>
      </c>
      <c r="B220" t="s">
        <v>1</v>
      </c>
      <c r="C220">
        <v>219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1</v>
      </c>
      <c r="M220">
        <v>1</v>
      </c>
      <c r="N220">
        <v>1</v>
      </c>
      <c r="O220">
        <v>1</v>
      </c>
      <c r="P220">
        <v>1</v>
      </c>
      <c r="Q220">
        <v>1</v>
      </c>
      <c r="R220">
        <v>1</v>
      </c>
      <c r="S220">
        <v>1</v>
      </c>
    </row>
    <row r="221" spans="1:19" x14ac:dyDescent="0.25">
      <c r="A221" s="1">
        <v>0.62811269675925929</v>
      </c>
      <c r="B221" t="s">
        <v>1</v>
      </c>
      <c r="C221">
        <v>220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1</v>
      </c>
      <c r="M221">
        <v>1</v>
      </c>
      <c r="N221">
        <v>1</v>
      </c>
      <c r="O221">
        <v>1</v>
      </c>
      <c r="P221">
        <v>1</v>
      </c>
      <c r="Q221">
        <v>1</v>
      </c>
      <c r="R221">
        <v>1</v>
      </c>
      <c r="S221">
        <v>1</v>
      </c>
    </row>
    <row r="222" spans="1:19" x14ac:dyDescent="0.25">
      <c r="A222" s="1">
        <v>0.62811281249999995</v>
      </c>
      <c r="B222" t="s">
        <v>1</v>
      </c>
      <c r="C222">
        <v>221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1</v>
      </c>
      <c r="M222">
        <v>1</v>
      </c>
      <c r="N222">
        <v>1</v>
      </c>
      <c r="O222">
        <v>1</v>
      </c>
      <c r="P222">
        <v>1</v>
      </c>
      <c r="Q222">
        <v>1</v>
      </c>
      <c r="R222">
        <v>1</v>
      </c>
      <c r="S222">
        <v>1</v>
      </c>
    </row>
    <row r="223" spans="1:19" x14ac:dyDescent="0.25">
      <c r="A223" s="1">
        <v>0.62811292824074072</v>
      </c>
      <c r="B223" t="s">
        <v>1</v>
      </c>
      <c r="C223">
        <v>222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1</v>
      </c>
      <c r="M223">
        <v>1</v>
      </c>
      <c r="N223">
        <v>1</v>
      </c>
      <c r="O223">
        <v>1</v>
      </c>
      <c r="P223">
        <v>1</v>
      </c>
      <c r="Q223">
        <v>1</v>
      </c>
      <c r="R223">
        <v>1</v>
      </c>
      <c r="S223">
        <v>1</v>
      </c>
    </row>
    <row r="224" spans="1:19" x14ac:dyDescent="0.25">
      <c r="A224" s="1">
        <v>0.62811304398148149</v>
      </c>
      <c r="B224" t="s">
        <v>1</v>
      </c>
      <c r="C224">
        <v>223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1</v>
      </c>
      <c r="M224">
        <v>1</v>
      </c>
      <c r="N224">
        <v>1</v>
      </c>
      <c r="O224">
        <v>1</v>
      </c>
      <c r="P224">
        <v>1</v>
      </c>
      <c r="Q224">
        <v>1</v>
      </c>
      <c r="R224">
        <v>1</v>
      </c>
      <c r="S224">
        <v>1</v>
      </c>
    </row>
    <row r="225" spans="1:19" x14ac:dyDescent="0.25">
      <c r="A225" s="1">
        <v>0.62811315972222226</v>
      </c>
      <c r="B225" t="s">
        <v>1</v>
      </c>
      <c r="C225">
        <v>224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1</v>
      </c>
      <c r="M225">
        <v>1</v>
      </c>
      <c r="N225">
        <v>1</v>
      </c>
      <c r="O225">
        <v>1</v>
      </c>
      <c r="P225">
        <v>1</v>
      </c>
      <c r="Q225">
        <v>1</v>
      </c>
      <c r="R225">
        <v>1</v>
      </c>
      <c r="S225">
        <v>1</v>
      </c>
    </row>
    <row r="226" spans="1:19" x14ac:dyDescent="0.25">
      <c r="A226" s="1">
        <v>0.62811327546296292</v>
      </c>
      <c r="B226" t="s">
        <v>1</v>
      </c>
      <c r="C226">
        <v>225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1</v>
      </c>
      <c r="M226">
        <v>1</v>
      </c>
      <c r="N226">
        <v>1</v>
      </c>
      <c r="O226">
        <v>1</v>
      </c>
      <c r="P226">
        <v>1</v>
      </c>
      <c r="Q226">
        <v>1</v>
      </c>
      <c r="R226">
        <v>1</v>
      </c>
      <c r="S226">
        <v>1</v>
      </c>
    </row>
    <row r="227" spans="1:19" x14ac:dyDescent="0.25">
      <c r="A227" s="1">
        <v>0.62811339120370369</v>
      </c>
      <c r="B227" t="s">
        <v>1</v>
      </c>
      <c r="C227">
        <v>226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1</v>
      </c>
      <c r="M227">
        <v>1</v>
      </c>
      <c r="N227">
        <v>1</v>
      </c>
      <c r="O227">
        <v>1</v>
      </c>
      <c r="P227">
        <v>1</v>
      </c>
      <c r="Q227">
        <v>1</v>
      </c>
      <c r="R227">
        <v>1</v>
      </c>
      <c r="S227">
        <v>1</v>
      </c>
    </row>
    <row r="228" spans="1:19" x14ac:dyDescent="0.25">
      <c r="A228" s="1">
        <v>0.62811350694444446</v>
      </c>
      <c r="B228" t="s">
        <v>1</v>
      </c>
      <c r="C228">
        <v>227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1</v>
      </c>
      <c r="M228">
        <v>1</v>
      </c>
      <c r="N228">
        <v>1</v>
      </c>
      <c r="O228">
        <v>1</v>
      </c>
      <c r="P228">
        <v>1</v>
      </c>
      <c r="Q228">
        <v>1</v>
      </c>
      <c r="R228">
        <v>1</v>
      </c>
      <c r="S228">
        <v>1</v>
      </c>
    </row>
    <row r="229" spans="1:19" x14ac:dyDescent="0.25">
      <c r="A229" s="1">
        <v>0.62811362268518522</v>
      </c>
      <c r="B229" t="s">
        <v>1</v>
      </c>
      <c r="C229">
        <v>228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1</v>
      </c>
      <c r="M229">
        <v>1</v>
      </c>
      <c r="N229">
        <v>1</v>
      </c>
      <c r="O229">
        <v>1</v>
      </c>
      <c r="P229">
        <v>1</v>
      </c>
      <c r="Q229">
        <v>1</v>
      </c>
      <c r="R229">
        <v>1</v>
      </c>
      <c r="S229">
        <v>1</v>
      </c>
    </row>
    <row r="230" spans="1:19" x14ac:dyDescent="0.25">
      <c r="A230" s="1">
        <v>0.62811372685185185</v>
      </c>
      <c r="B230" t="s">
        <v>1</v>
      </c>
      <c r="C230">
        <v>229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1</v>
      </c>
      <c r="M230">
        <v>1</v>
      </c>
      <c r="N230">
        <v>1</v>
      </c>
      <c r="O230">
        <v>1</v>
      </c>
      <c r="P230">
        <v>1</v>
      </c>
      <c r="Q230">
        <v>1</v>
      </c>
      <c r="R230">
        <v>1</v>
      </c>
      <c r="S230">
        <v>1</v>
      </c>
    </row>
    <row r="231" spans="1:19" x14ac:dyDescent="0.25">
      <c r="A231" s="1">
        <v>0.62811384259259262</v>
      </c>
      <c r="B231" t="s">
        <v>1</v>
      </c>
      <c r="C231">
        <v>230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1</v>
      </c>
      <c r="M231">
        <v>1</v>
      </c>
      <c r="N231">
        <v>1</v>
      </c>
      <c r="O231">
        <v>1</v>
      </c>
      <c r="P231">
        <v>1</v>
      </c>
      <c r="Q231">
        <v>1</v>
      </c>
      <c r="R231">
        <v>1</v>
      </c>
      <c r="S231">
        <v>1</v>
      </c>
    </row>
    <row r="232" spans="1:19" x14ac:dyDescent="0.25">
      <c r="A232" s="1">
        <v>0.62811396990740742</v>
      </c>
      <c r="B232" t="s">
        <v>1</v>
      </c>
      <c r="C232">
        <v>231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1</v>
      </c>
      <c r="M232">
        <v>1</v>
      </c>
      <c r="N232">
        <v>1</v>
      </c>
      <c r="O232">
        <v>1</v>
      </c>
      <c r="P232">
        <v>1</v>
      </c>
      <c r="Q232">
        <v>1</v>
      </c>
      <c r="R232">
        <v>1</v>
      </c>
      <c r="S232">
        <v>1</v>
      </c>
    </row>
    <row r="233" spans="1:19" x14ac:dyDescent="0.25">
      <c r="A233" s="1">
        <v>0.62811408564814819</v>
      </c>
      <c r="B233" t="s">
        <v>1</v>
      </c>
      <c r="C233">
        <v>232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1</v>
      </c>
      <c r="M233">
        <v>1</v>
      </c>
      <c r="N233">
        <v>1</v>
      </c>
      <c r="O233">
        <v>1</v>
      </c>
      <c r="P233">
        <v>1</v>
      </c>
      <c r="Q233">
        <v>1</v>
      </c>
      <c r="R233">
        <v>1</v>
      </c>
      <c r="S233">
        <v>1</v>
      </c>
    </row>
    <row r="234" spans="1:19" x14ac:dyDescent="0.25">
      <c r="A234" s="1">
        <v>0.62811420138888885</v>
      </c>
      <c r="B234" t="s">
        <v>1</v>
      </c>
      <c r="C234">
        <v>233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1</v>
      </c>
      <c r="M234">
        <v>1</v>
      </c>
      <c r="N234">
        <v>1</v>
      </c>
      <c r="O234">
        <v>1</v>
      </c>
      <c r="P234">
        <v>1</v>
      </c>
      <c r="Q234">
        <v>1</v>
      </c>
      <c r="R234">
        <v>1</v>
      </c>
      <c r="S234">
        <v>1</v>
      </c>
    </row>
    <row r="235" spans="1:19" x14ac:dyDescent="0.25">
      <c r="A235" s="1">
        <v>0.62811431712962962</v>
      </c>
      <c r="B235" t="s">
        <v>1</v>
      </c>
      <c r="C235">
        <v>234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1</v>
      </c>
      <c r="M235">
        <v>1</v>
      </c>
      <c r="N235">
        <v>1</v>
      </c>
      <c r="O235">
        <v>1</v>
      </c>
      <c r="P235">
        <v>1</v>
      </c>
      <c r="Q235">
        <v>1</v>
      </c>
      <c r="R235">
        <v>1</v>
      </c>
      <c r="S235">
        <v>1</v>
      </c>
    </row>
    <row r="236" spans="1:19" x14ac:dyDescent="0.25">
      <c r="A236" s="1">
        <v>0.62811442129629624</v>
      </c>
      <c r="B236" t="s">
        <v>1</v>
      </c>
      <c r="C236">
        <v>235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1</v>
      </c>
      <c r="M236">
        <v>1</v>
      </c>
      <c r="N236">
        <v>1</v>
      </c>
      <c r="O236">
        <v>1</v>
      </c>
      <c r="P236">
        <v>1</v>
      </c>
      <c r="Q236">
        <v>1</v>
      </c>
      <c r="R236">
        <v>1</v>
      </c>
      <c r="S236">
        <v>1</v>
      </c>
    </row>
    <row r="237" spans="1:19" x14ac:dyDescent="0.25">
      <c r="A237" s="1">
        <v>0.62811453703703701</v>
      </c>
      <c r="B237" t="s">
        <v>1</v>
      </c>
      <c r="C237">
        <v>236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1</v>
      </c>
      <c r="M237">
        <v>1</v>
      </c>
      <c r="N237">
        <v>1</v>
      </c>
      <c r="O237">
        <v>1</v>
      </c>
      <c r="P237">
        <v>1</v>
      </c>
      <c r="Q237">
        <v>1</v>
      </c>
      <c r="R237">
        <v>1</v>
      </c>
      <c r="S237">
        <v>1</v>
      </c>
    </row>
    <row r="238" spans="1:19" x14ac:dyDescent="0.25">
      <c r="A238" s="1">
        <v>0.62811466435185181</v>
      </c>
      <c r="B238" t="s">
        <v>1</v>
      </c>
      <c r="C238">
        <v>237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1</v>
      </c>
      <c r="M238">
        <v>1</v>
      </c>
      <c r="N238">
        <v>1</v>
      </c>
      <c r="O238">
        <v>1</v>
      </c>
      <c r="P238">
        <v>1</v>
      </c>
      <c r="Q238">
        <v>1</v>
      </c>
      <c r="R238">
        <v>1</v>
      </c>
      <c r="S238">
        <v>1</v>
      </c>
    </row>
    <row r="239" spans="1:19" x14ac:dyDescent="0.25">
      <c r="A239" s="1">
        <v>0.62811476851851855</v>
      </c>
      <c r="B239" t="s">
        <v>1</v>
      </c>
      <c r="C239">
        <v>238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1</v>
      </c>
      <c r="M239">
        <v>1</v>
      </c>
      <c r="N239">
        <v>1</v>
      </c>
      <c r="O239">
        <v>1</v>
      </c>
      <c r="P239">
        <v>1</v>
      </c>
      <c r="Q239">
        <v>1</v>
      </c>
      <c r="R239">
        <v>1</v>
      </c>
      <c r="S239">
        <v>1</v>
      </c>
    </row>
    <row r="240" spans="1:19" x14ac:dyDescent="0.25">
      <c r="A240" s="1">
        <v>0.62811488425925921</v>
      </c>
      <c r="B240" t="s">
        <v>1</v>
      </c>
      <c r="C240">
        <v>239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1</v>
      </c>
      <c r="M240">
        <v>1</v>
      </c>
      <c r="N240">
        <v>1</v>
      </c>
      <c r="O240">
        <v>1</v>
      </c>
      <c r="P240">
        <v>1</v>
      </c>
      <c r="Q240">
        <v>1</v>
      </c>
      <c r="R240">
        <v>1</v>
      </c>
      <c r="S240">
        <v>1</v>
      </c>
    </row>
    <row r="241" spans="1:19" x14ac:dyDescent="0.25">
      <c r="A241" s="1">
        <v>0.62811501157407412</v>
      </c>
      <c r="B241" t="s">
        <v>1</v>
      </c>
      <c r="C241">
        <v>240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1</v>
      </c>
      <c r="M241">
        <v>1</v>
      </c>
      <c r="N241">
        <v>1</v>
      </c>
      <c r="O241">
        <v>1</v>
      </c>
      <c r="P241">
        <v>1</v>
      </c>
      <c r="Q241">
        <v>1</v>
      </c>
      <c r="R241">
        <v>1</v>
      </c>
      <c r="S241">
        <v>1</v>
      </c>
    </row>
    <row r="242" spans="1:19" x14ac:dyDescent="0.25">
      <c r="A242" s="1">
        <v>0.62811512731481478</v>
      </c>
      <c r="B242" t="s">
        <v>1</v>
      </c>
      <c r="C242">
        <v>241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1</v>
      </c>
      <c r="M242">
        <v>1</v>
      </c>
      <c r="N242">
        <v>1</v>
      </c>
      <c r="O242">
        <v>1</v>
      </c>
      <c r="P242">
        <v>1</v>
      </c>
      <c r="Q242">
        <v>1</v>
      </c>
      <c r="R242">
        <v>1</v>
      </c>
      <c r="S242">
        <v>1</v>
      </c>
    </row>
    <row r="243" spans="1:19" x14ac:dyDescent="0.25">
      <c r="A243" s="1">
        <v>0.62811523148148152</v>
      </c>
      <c r="B243" t="s">
        <v>1</v>
      </c>
      <c r="C243">
        <v>242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1</v>
      </c>
      <c r="M243">
        <v>1</v>
      </c>
      <c r="N243">
        <v>1</v>
      </c>
      <c r="O243">
        <v>1</v>
      </c>
      <c r="P243">
        <v>1</v>
      </c>
      <c r="Q243">
        <v>1</v>
      </c>
      <c r="R243">
        <v>1</v>
      </c>
      <c r="S243">
        <v>1</v>
      </c>
    </row>
    <row r="244" spans="1:19" x14ac:dyDescent="0.25">
      <c r="A244" s="1">
        <v>0.62811534722222218</v>
      </c>
      <c r="B244" t="s">
        <v>1</v>
      </c>
      <c r="C244">
        <v>243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1</v>
      </c>
      <c r="Q244">
        <v>1</v>
      </c>
      <c r="R244">
        <v>1</v>
      </c>
      <c r="S244">
        <v>1</v>
      </c>
    </row>
    <row r="245" spans="1:19" x14ac:dyDescent="0.25">
      <c r="A245" s="1">
        <v>0.62811546296296294</v>
      </c>
      <c r="B245" t="s">
        <v>1</v>
      </c>
      <c r="C245">
        <v>244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1</v>
      </c>
      <c r="M245">
        <v>1</v>
      </c>
      <c r="N245">
        <v>1</v>
      </c>
      <c r="O245">
        <v>1</v>
      </c>
      <c r="P245">
        <v>1</v>
      </c>
      <c r="Q245">
        <v>1</v>
      </c>
      <c r="R245">
        <v>1</v>
      </c>
      <c r="S245">
        <v>1</v>
      </c>
    </row>
    <row r="246" spans="1:19" x14ac:dyDescent="0.25">
      <c r="A246" s="1">
        <v>0.62811559027777775</v>
      </c>
      <c r="B246" t="s">
        <v>1</v>
      </c>
      <c r="C246">
        <v>245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1</v>
      </c>
      <c r="M246">
        <v>1</v>
      </c>
      <c r="N246">
        <v>1</v>
      </c>
      <c r="O246">
        <v>1</v>
      </c>
      <c r="P246">
        <v>1</v>
      </c>
      <c r="Q246">
        <v>1</v>
      </c>
      <c r="R246">
        <v>1</v>
      </c>
      <c r="S246">
        <v>1</v>
      </c>
    </row>
    <row r="247" spans="1:19" x14ac:dyDescent="0.25">
      <c r="A247" s="1">
        <v>0.62811570601851852</v>
      </c>
      <c r="B247" t="s">
        <v>1</v>
      </c>
      <c r="C247">
        <v>246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1</v>
      </c>
      <c r="M247">
        <v>1</v>
      </c>
      <c r="N247">
        <v>1</v>
      </c>
      <c r="O247">
        <v>1</v>
      </c>
      <c r="P247">
        <v>1</v>
      </c>
      <c r="Q247">
        <v>1</v>
      </c>
      <c r="R247">
        <v>1</v>
      </c>
      <c r="S247">
        <v>1</v>
      </c>
    </row>
    <row r="248" spans="1:19" x14ac:dyDescent="0.25">
      <c r="A248" s="1">
        <v>0.62811582175925929</v>
      </c>
      <c r="B248" t="s">
        <v>1</v>
      </c>
      <c r="C248">
        <v>247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1</v>
      </c>
      <c r="M248">
        <v>1</v>
      </c>
      <c r="N248">
        <v>1</v>
      </c>
      <c r="O248">
        <v>1</v>
      </c>
      <c r="P248">
        <v>1</v>
      </c>
      <c r="Q248">
        <v>1</v>
      </c>
      <c r="R248">
        <v>1</v>
      </c>
      <c r="S248">
        <v>1</v>
      </c>
    </row>
    <row r="249" spans="1:19" x14ac:dyDescent="0.25">
      <c r="A249" s="1">
        <v>0.62811593750000005</v>
      </c>
      <c r="B249" t="s">
        <v>1</v>
      </c>
      <c r="C249">
        <v>248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1</v>
      </c>
      <c r="M249">
        <v>1</v>
      </c>
      <c r="N249">
        <v>1</v>
      </c>
      <c r="O249">
        <v>1</v>
      </c>
      <c r="P249">
        <v>1</v>
      </c>
      <c r="Q249">
        <v>1</v>
      </c>
      <c r="R249">
        <v>1</v>
      </c>
      <c r="S249">
        <v>1</v>
      </c>
    </row>
    <row r="250" spans="1:19" x14ac:dyDescent="0.25">
      <c r="A250" s="1">
        <v>0.62811604166666668</v>
      </c>
      <c r="B250" t="s">
        <v>1</v>
      </c>
      <c r="C250">
        <v>249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1</v>
      </c>
      <c r="M250">
        <v>1</v>
      </c>
      <c r="N250">
        <v>1</v>
      </c>
      <c r="O250">
        <v>1</v>
      </c>
      <c r="P250">
        <v>1</v>
      </c>
      <c r="Q250">
        <v>1</v>
      </c>
      <c r="R250">
        <v>1</v>
      </c>
      <c r="S250">
        <v>1</v>
      </c>
    </row>
    <row r="251" spans="1:19" x14ac:dyDescent="0.25">
      <c r="A251" s="1">
        <v>0.62811615740740745</v>
      </c>
      <c r="B251" t="s">
        <v>1</v>
      </c>
      <c r="C251">
        <v>250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1</v>
      </c>
      <c r="M251">
        <v>1</v>
      </c>
      <c r="N251">
        <v>1</v>
      </c>
      <c r="O251">
        <v>1</v>
      </c>
      <c r="P251">
        <v>1</v>
      </c>
      <c r="Q251">
        <v>1</v>
      </c>
      <c r="R251">
        <v>1</v>
      </c>
      <c r="S251">
        <v>1</v>
      </c>
    </row>
    <row r="252" spans="1:19" x14ac:dyDescent="0.25">
      <c r="A252" s="1">
        <v>0.62811627314814811</v>
      </c>
      <c r="B252" t="s">
        <v>1</v>
      </c>
      <c r="C252">
        <v>251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1</v>
      </c>
      <c r="M252">
        <v>1</v>
      </c>
      <c r="N252">
        <v>1</v>
      </c>
      <c r="O252">
        <v>1</v>
      </c>
      <c r="P252">
        <v>1</v>
      </c>
      <c r="Q252">
        <v>1</v>
      </c>
      <c r="R252">
        <v>1</v>
      </c>
      <c r="S252">
        <v>1</v>
      </c>
    </row>
    <row r="253" spans="1:19" x14ac:dyDescent="0.25">
      <c r="A253" s="1">
        <v>0.62811640046296291</v>
      </c>
      <c r="B253" t="s">
        <v>1</v>
      </c>
      <c r="C253">
        <v>252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1</v>
      </c>
      <c r="M253">
        <v>1</v>
      </c>
      <c r="N253">
        <v>1</v>
      </c>
      <c r="O253">
        <v>1</v>
      </c>
      <c r="P253">
        <v>1</v>
      </c>
      <c r="Q253">
        <v>1</v>
      </c>
      <c r="R253">
        <v>1</v>
      </c>
      <c r="S253">
        <v>1</v>
      </c>
    </row>
    <row r="254" spans="1:19" x14ac:dyDescent="0.25">
      <c r="A254" s="1">
        <v>0.62811651620370368</v>
      </c>
      <c r="B254" t="s">
        <v>1</v>
      </c>
      <c r="C254">
        <v>253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1</v>
      </c>
      <c r="M254">
        <v>1</v>
      </c>
      <c r="N254">
        <v>1</v>
      </c>
      <c r="O254">
        <v>1</v>
      </c>
      <c r="P254">
        <v>1</v>
      </c>
      <c r="Q254">
        <v>1</v>
      </c>
      <c r="R254">
        <v>1</v>
      </c>
      <c r="S254">
        <v>1</v>
      </c>
    </row>
    <row r="255" spans="1:19" x14ac:dyDescent="0.25">
      <c r="A255" s="1">
        <v>0.62811662037037042</v>
      </c>
      <c r="B255" t="s">
        <v>1</v>
      </c>
      <c r="C255">
        <v>254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1</v>
      </c>
      <c r="M255">
        <v>1</v>
      </c>
      <c r="N255">
        <v>1</v>
      </c>
      <c r="O255">
        <v>1</v>
      </c>
      <c r="P255">
        <v>1</v>
      </c>
      <c r="Q255">
        <v>1</v>
      </c>
      <c r="R255">
        <v>1</v>
      </c>
      <c r="S255">
        <v>1</v>
      </c>
    </row>
    <row r="256" spans="1:19" x14ac:dyDescent="0.25">
      <c r="A256" s="1">
        <v>0.62811673611111107</v>
      </c>
      <c r="B256" t="s">
        <v>1</v>
      </c>
      <c r="C256">
        <v>255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1</v>
      </c>
      <c r="Q256">
        <v>1</v>
      </c>
      <c r="R256">
        <v>1</v>
      </c>
      <c r="S256">
        <v>1</v>
      </c>
    </row>
    <row r="257" spans="1:19" x14ac:dyDescent="0.25">
      <c r="A257" s="1">
        <v>0.62811685185185184</v>
      </c>
      <c r="B257" t="s">
        <v>2</v>
      </c>
      <c r="C257">
        <v>256</v>
      </c>
      <c r="D257">
        <v>0</v>
      </c>
      <c r="E257">
        <v>1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1</v>
      </c>
      <c r="M257">
        <v>1</v>
      </c>
      <c r="N257">
        <v>1</v>
      </c>
      <c r="O257">
        <v>1</v>
      </c>
      <c r="P257">
        <v>1</v>
      </c>
      <c r="Q257">
        <v>1</v>
      </c>
      <c r="R257">
        <v>1</v>
      </c>
      <c r="S257">
        <v>1</v>
      </c>
    </row>
    <row r="258" spans="1:19" x14ac:dyDescent="0.25">
      <c r="A258" s="1">
        <v>0.62811696759259261</v>
      </c>
      <c r="B258" t="s">
        <v>2</v>
      </c>
      <c r="C258">
        <v>257</v>
      </c>
      <c r="D258">
        <v>0</v>
      </c>
      <c r="E258">
        <v>1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1</v>
      </c>
      <c r="M258">
        <v>1</v>
      </c>
      <c r="N258">
        <v>1</v>
      </c>
      <c r="O258">
        <v>1</v>
      </c>
      <c r="P258">
        <v>1</v>
      </c>
      <c r="Q258">
        <v>1</v>
      </c>
      <c r="R258">
        <v>1</v>
      </c>
      <c r="S258">
        <v>1</v>
      </c>
    </row>
    <row r="259" spans="1:19" x14ac:dyDescent="0.25">
      <c r="A259" s="1">
        <v>0.62811708333333338</v>
      </c>
      <c r="B259" t="s">
        <v>2</v>
      </c>
      <c r="C259">
        <v>258</v>
      </c>
      <c r="D259">
        <v>0</v>
      </c>
      <c r="E259">
        <v>1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1</v>
      </c>
      <c r="M259">
        <v>1</v>
      </c>
      <c r="N259">
        <v>1</v>
      </c>
      <c r="O259">
        <v>1</v>
      </c>
      <c r="P259">
        <v>1</v>
      </c>
      <c r="Q259">
        <v>1</v>
      </c>
      <c r="R259">
        <v>1</v>
      </c>
      <c r="S259">
        <v>1</v>
      </c>
    </row>
    <row r="260" spans="1:19" x14ac:dyDescent="0.25">
      <c r="A260" s="1">
        <v>0.62811719907407404</v>
      </c>
      <c r="B260" t="s">
        <v>2</v>
      </c>
      <c r="C260">
        <v>259</v>
      </c>
      <c r="D260">
        <v>0</v>
      </c>
      <c r="E260">
        <v>1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1</v>
      </c>
      <c r="M260">
        <v>1</v>
      </c>
      <c r="N260">
        <v>1</v>
      </c>
      <c r="O260">
        <v>1</v>
      </c>
      <c r="P260">
        <v>1</v>
      </c>
      <c r="Q260">
        <v>1</v>
      </c>
      <c r="R260">
        <v>1</v>
      </c>
      <c r="S260">
        <v>1</v>
      </c>
    </row>
    <row r="261" spans="1:19" x14ac:dyDescent="0.25">
      <c r="A261" s="1">
        <v>0.62811731481481481</v>
      </c>
      <c r="B261" t="s">
        <v>2</v>
      </c>
      <c r="C261">
        <v>260</v>
      </c>
      <c r="D261">
        <v>0</v>
      </c>
      <c r="E261">
        <v>1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1</v>
      </c>
      <c r="M261">
        <v>1</v>
      </c>
      <c r="N261">
        <v>1</v>
      </c>
      <c r="O261">
        <v>1</v>
      </c>
      <c r="P261">
        <v>1</v>
      </c>
      <c r="Q261">
        <v>1</v>
      </c>
      <c r="R261">
        <v>1</v>
      </c>
      <c r="S261">
        <v>1</v>
      </c>
    </row>
    <row r="262" spans="1:19" x14ac:dyDescent="0.25">
      <c r="A262" s="1">
        <v>0.62811743055555558</v>
      </c>
      <c r="B262" t="s">
        <v>2</v>
      </c>
      <c r="C262">
        <v>261</v>
      </c>
      <c r="D262">
        <v>0</v>
      </c>
      <c r="E262">
        <v>1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1</v>
      </c>
      <c r="M262">
        <v>1</v>
      </c>
      <c r="N262">
        <v>1</v>
      </c>
      <c r="O262">
        <v>1</v>
      </c>
      <c r="P262">
        <v>1</v>
      </c>
      <c r="Q262">
        <v>1</v>
      </c>
      <c r="R262">
        <v>1</v>
      </c>
      <c r="S262">
        <v>1</v>
      </c>
    </row>
    <row r="263" spans="1:19" x14ac:dyDescent="0.25">
      <c r="A263" s="1">
        <v>0.62811754629629635</v>
      </c>
      <c r="B263" t="s">
        <v>2</v>
      </c>
      <c r="C263">
        <v>262</v>
      </c>
      <c r="D263">
        <v>0</v>
      </c>
      <c r="E263">
        <v>1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1</v>
      </c>
      <c r="M263">
        <v>1</v>
      </c>
      <c r="N263">
        <v>1</v>
      </c>
      <c r="O263">
        <v>1</v>
      </c>
      <c r="P263">
        <v>1</v>
      </c>
      <c r="Q263">
        <v>1</v>
      </c>
      <c r="R263">
        <v>1</v>
      </c>
      <c r="S263">
        <v>1</v>
      </c>
    </row>
    <row r="264" spans="1:19" x14ac:dyDescent="0.25">
      <c r="A264" s="1">
        <v>0.62811766203703701</v>
      </c>
      <c r="B264" t="s">
        <v>1</v>
      </c>
      <c r="C264">
        <v>263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1</v>
      </c>
      <c r="M264">
        <v>1</v>
      </c>
      <c r="N264">
        <v>1</v>
      </c>
      <c r="O264">
        <v>1</v>
      </c>
      <c r="P264">
        <v>1</v>
      </c>
      <c r="Q264">
        <v>1</v>
      </c>
      <c r="R264">
        <v>1</v>
      </c>
      <c r="S264">
        <v>1</v>
      </c>
    </row>
    <row r="265" spans="1:19" x14ac:dyDescent="0.25">
      <c r="A265" s="1">
        <v>0.62811777777777777</v>
      </c>
      <c r="B265" t="s">
        <v>1</v>
      </c>
      <c r="C265">
        <v>264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1</v>
      </c>
      <c r="M265">
        <v>1</v>
      </c>
      <c r="N265">
        <v>1</v>
      </c>
      <c r="O265">
        <v>1</v>
      </c>
      <c r="P265">
        <v>1</v>
      </c>
      <c r="Q265">
        <v>1</v>
      </c>
      <c r="R265">
        <v>1</v>
      </c>
      <c r="S265">
        <v>1</v>
      </c>
    </row>
    <row r="266" spans="1:19" x14ac:dyDescent="0.25">
      <c r="A266" s="1">
        <v>0.62811789351851854</v>
      </c>
      <c r="B266" t="s">
        <v>1</v>
      </c>
      <c r="C266">
        <v>265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1</v>
      </c>
      <c r="M266">
        <v>1</v>
      </c>
      <c r="N266">
        <v>1</v>
      </c>
      <c r="O266">
        <v>1</v>
      </c>
      <c r="P266">
        <v>1</v>
      </c>
      <c r="Q266">
        <v>1</v>
      </c>
      <c r="R266">
        <v>1</v>
      </c>
      <c r="S266">
        <v>1</v>
      </c>
    </row>
    <row r="267" spans="1:19" x14ac:dyDescent="0.25">
      <c r="A267" s="1">
        <v>0.62811800925925931</v>
      </c>
      <c r="B267" t="s">
        <v>1</v>
      </c>
      <c r="C267">
        <v>266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1</v>
      </c>
      <c r="M267">
        <v>1</v>
      </c>
      <c r="N267">
        <v>1</v>
      </c>
      <c r="O267">
        <v>1</v>
      </c>
      <c r="P267">
        <v>1</v>
      </c>
      <c r="Q267">
        <v>1</v>
      </c>
      <c r="R267">
        <v>1</v>
      </c>
      <c r="S267">
        <v>1</v>
      </c>
    </row>
    <row r="268" spans="1:19" x14ac:dyDescent="0.25">
      <c r="A268" s="1">
        <v>0.62811812499999997</v>
      </c>
      <c r="B268" t="s">
        <v>1</v>
      </c>
      <c r="C268">
        <v>267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1</v>
      </c>
      <c r="M268">
        <v>1</v>
      </c>
      <c r="N268">
        <v>1</v>
      </c>
      <c r="O268">
        <v>1</v>
      </c>
      <c r="P268">
        <v>1</v>
      </c>
      <c r="Q268">
        <v>1</v>
      </c>
      <c r="R268">
        <v>1</v>
      </c>
      <c r="S268">
        <v>1</v>
      </c>
    </row>
    <row r="269" spans="1:19" x14ac:dyDescent="0.25">
      <c r="A269" s="1">
        <v>0.62811824074074074</v>
      </c>
      <c r="B269" t="s">
        <v>1</v>
      </c>
      <c r="C269">
        <v>268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1</v>
      </c>
      <c r="M269">
        <v>1</v>
      </c>
      <c r="N269">
        <v>1</v>
      </c>
      <c r="O269">
        <v>1</v>
      </c>
      <c r="P269">
        <v>1</v>
      </c>
      <c r="Q269">
        <v>1</v>
      </c>
      <c r="R269">
        <v>1</v>
      </c>
      <c r="S269">
        <v>1</v>
      </c>
    </row>
    <row r="270" spans="1:19" x14ac:dyDescent="0.25">
      <c r="A270" s="1">
        <v>0.62811835648148151</v>
      </c>
      <c r="B270" t="s">
        <v>1</v>
      </c>
      <c r="C270">
        <v>269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1</v>
      </c>
      <c r="M270">
        <v>1</v>
      </c>
      <c r="N270">
        <v>1</v>
      </c>
      <c r="O270">
        <v>1</v>
      </c>
      <c r="P270">
        <v>1</v>
      </c>
      <c r="Q270">
        <v>1</v>
      </c>
      <c r="R270">
        <v>1</v>
      </c>
      <c r="S270">
        <v>1</v>
      </c>
    </row>
    <row r="271" spans="1:19" x14ac:dyDescent="0.25">
      <c r="A271" s="1">
        <v>0.62811847222222217</v>
      </c>
      <c r="B271" t="s">
        <v>1</v>
      </c>
      <c r="C271">
        <v>270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1</v>
      </c>
      <c r="M271">
        <v>1</v>
      </c>
      <c r="N271">
        <v>1</v>
      </c>
      <c r="O271">
        <v>1</v>
      </c>
      <c r="P271">
        <v>1</v>
      </c>
      <c r="Q271">
        <v>1</v>
      </c>
      <c r="R271">
        <v>1</v>
      </c>
      <c r="S271">
        <v>1</v>
      </c>
    </row>
    <row r="272" spans="1:19" x14ac:dyDescent="0.25">
      <c r="A272" s="1">
        <v>0.62811858796296294</v>
      </c>
      <c r="B272" t="s">
        <v>1</v>
      </c>
      <c r="C272">
        <v>271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1</v>
      </c>
      <c r="M272">
        <v>1</v>
      </c>
      <c r="N272">
        <v>1</v>
      </c>
      <c r="O272">
        <v>1</v>
      </c>
      <c r="P272">
        <v>1</v>
      </c>
      <c r="Q272">
        <v>1</v>
      </c>
      <c r="R272">
        <v>1</v>
      </c>
      <c r="S272">
        <v>1</v>
      </c>
    </row>
    <row r="273" spans="1:19" x14ac:dyDescent="0.25">
      <c r="A273" s="1">
        <v>0.62811870370370371</v>
      </c>
      <c r="B273" t="s">
        <v>1</v>
      </c>
      <c r="C273">
        <v>272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1</v>
      </c>
      <c r="M273">
        <v>1</v>
      </c>
      <c r="N273">
        <v>1</v>
      </c>
      <c r="O273">
        <v>1</v>
      </c>
      <c r="P273">
        <v>1</v>
      </c>
      <c r="Q273">
        <v>1</v>
      </c>
      <c r="R273">
        <v>1</v>
      </c>
      <c r="S273">
        <v>1</v>
      </c>
    </row>
    <row r="274" spans="1:19" x14ac:dyDescent="0.25">
      <c r="A274" s="1">
        <v>0.62811881944444448</v>
      </c>
      <c r="B274" t="s">
        <v>1</v>
      </c>
      <c r="C274">
        <v>273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1</v>
      </c>
      <c r="M274">
        <v>1</v>
      </c>
      <c r="N274">
        <v>1</v>
      </c>
      <c r="O274">
        <v>1</v>
      </c>
      <c r="P274">
        <v>1</v>
      </c>
      <c r="Q274">
        <v>1</v>
      </c>
      <c r="R274">
        <v>1</v>
      </c>
      <c r="S274">
        <v>1</v>
      </c>
    </row>
    <row r="275" spans="1:19" x14ac:dyDescent="0.25">
      <c r="A275" s="1">
        <v>0.62811893518518513</v>
      </c>
      <c r="B275" t="s">
        <v>1</v>
      </c>
      <c r="C275">
        <v>274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1</v>
      </c>
      <c r="M275">
        <v>1</v>
      </c>
      <c r="N275">
        <v>1</v>
      </c>
      <c r="O275">
        <v>1</v>
      </c>
      <c r="P275">
        <v>1</v>
      </c>
      <c r="Q275">
        <v>1</v>
      </c>
      <c r="R275">
        <v>1</v>
      </c>
      <c r="S275">
        <v>1</v>
      </c>
    </row>
    <row r="276" spans="1:19" x14ac:dyDescent="0.25">
      <c r="A276" s="1">
        <v>0.6281190509259259</v>
      </c>
      <c r="B276" t="s">
        <v>1</v>
      </c>
      <c r="C276">
        <v>275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1</v>
      </c>
      <c r="M276">
        <v>1</v>
      </c>
      <c r="N276">
        <v>1</v>
      </c>
      <c r="O276">
        <v>1</v>
      </c>
      <c r="P276">
        <v>1</v>
      </c>
      <c r="Q276">
        <v>1</v>
      </c>
      <c r="R276">
        <v>1</v>
      </c>
      <c r="S276">
        <v>1</v>
      </c>
    </row>
    <row r="277" spans="1:19" x14ac:dyDescent="0.25">
      <c r="A277" s="1">
        <v>0.62811916666666667</v>
      </c>
      <c r="B277" t="s">
        <v>1</v>
      </c>
      <c r="C277">
        <v>276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1</v>
      </c>
      <c r="M277">
        <v>1</v>
      </c>
      <c r="N277">
        <v>1</v>
      </c>
      <c r="O277">
        <v>1</v>
      </c>
      <c r="P277">
        <v>1</v>
      </c>
      <c r="Q277">
        <v>1</v>
      </c>
      <c r="R277">
        <v>1</v>
      </c>
      <c r="S277">
        <v>1</v>
      </c>
    </row>
    <row r="278" spans="1:19" x14ac:dyDescent="0.25">
      <c r="A278" s="1">
        <v>0.62811928240740744</v>
      </c>
      <c r="B278" t="s">
        <v>1</v>
      </c>
      <c r="C278">
        <v>277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1</v>
      </c>
      <c r="M278">
        <v>1</v>
      </c>
      <c r="N278">
        <v>1</v>
      </c>
      <c r="O278">
        <v>1</v>
      </c>
      <c r="P278">
        <v>1</v>
      </c>
      <c r="Q278">
        <v>1</v>
      </c>
      <c r="R278">
        <v>1</v>
      </c>
      <c r="S278">
        <v>1</v>
      </c>
    </row>
    <row r="279" spans="1:19" x14ac:dyDescent="0.25">
      <c r="A279" s="1">
        <v>0.6281193981481481</v>
      </c>
      <c r="B279" t="s">
        <v>1</v>
      </c>
      <c r="C279">
        <v>278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1</v>
      </c>
      <c r="M279">
        <v>1</v>
      </c>
      <c r="N279">
        <v>1</v>
      </c>
      <c r="O279">
        <v>1</v>
      </c>
      <c r="P279">
        <v>1</v>
      </c>
      <c r="Q279">
        <v>1</v>
      </c>
      <c r="R279">
        <v>1</v>
      </c>
      <c r="S279">
        <v>1</v>
      </c>
    </row>
    <row r="280" spans="1:19" x14ac:dyDescent="0.25">
      <c r="A280" s="1">
        <v>0.62811951388888887</v>
      </c>
      <c r="B280" t="s">
        <v>1</v>
      </c>
      <c r="C280">
        <v>279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1</v>
      </c>
      <c r="M280">
        <v>1</v>
      </c>
      <c r="N280">
        <v>1</v>
      </c>
      <c r="O280">
        <v>1</v>
      </c>
      <c r="P280">
        <v>1</v>
      </c>
      <c r="Q280">
        <v>1</v>
      </c>
      <c r="R280">
        <v>1</v>
      </c>
      <c r="S280">
        <v>1</v>
      </c>
    </row>
    <row r="281" spans="1:19" x14ac:dyDescent="0.25">
      <c r="A281" s="1">
        <v>0.62811962962962964</v>
      </c>
      <c r="B281" t="s">
        <v>1</v>
      </c>
      <c r="C281">
        <v>280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1</v>
      </c>
      <c r="M281">
        <v>1</v>
      </c>
      <c r="N281">
        <v>1</v>
      </c>
      <c r="O281">
        <v>1</v>
      </c>
      <c r="P281">
        <v>1</v>
      </c>
      <c r="Q281">
        <v>1</v>
      </c>
      <c r="R281">
        <v>1</v>
      </c>
      <c r="S281">
        <v>1</v>
      </c>
    </row>
    <row r="282" spans="1:19" x14ac:dyDescent="0.25">
      <c r="A282" s="1">
        <v>0.62811974537037041</v>
      </c>
      <c r="B282" t="s">
        <v>1</v>
      </c>
      <c r="C282">
        <v>281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1</v>
      </c>
      <c r="M282">
        <v>1</v>
      </c>
      <c r="N282">
        <v>1</v>
      </c>
      <c r="O282">
        <v>1</v>
      </c>
      <c r="P282">
        <v>1</v>
      </c>
      <c r="Q282">
        <v>1</v>
      </c>
      <c r="R282">
        <v>1</v>
      </c>
      <c r="S282">
        <v>1</v>
      </c>
    </row>
    <row r="283" spans="1:19" x14ac:dyDescent="0.25">
      <c r="A283" s="1">
        <v>0.62811986111111107</v>
      </c>
      <c r="B283" t="s">
        <v>1</v>
      </c>
      <c r="C283">
        <v>282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1</v>
      </c>
      <c r="M283">
        <v>1</v>
      </c>
      <c r="N283">
        <v>1</v>
      </c>
      <c r="O283">
        <v>1</v>
      </c>
      <c r="P283">
        <v>1</v>
      </c>
      <c r="Q283">
        <v>1</v>
      </c>
      <c r="R283">
        <v>1</v>
      </c>
      <c r="S283">
        <v>1</v>
      </c>
    </row>
    <row r="284" spans="1:19" x14ac:dyDescent="0.25">
      <c r="A284" s="1">
        <v>0.62811997685185184</v>
      </c>
      <c r="B284" t="s">
        <v>1</v>
      </c>
      <c r="C284">
        <v>283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1</v>
      </c>
      <c r="M284">
        <v>1</v>
      </c>
      <c r="N284">
        <v>1</v>
      </c>
      <c r="O284">
        <v>1</v>
      </c>
      <c r="P284">
        <v>1</v>
      </c>
      <c r="Q284">
        <v>1</v>
      </c>
      <c r="R284">
        <v>1</v>
      </c>
      <c r="S284">
        <v>1</v>
      </c>
    </row>
    <row r="285" spans="1:19" x14ac:dyDescent="0.25">
      <c r="A285" s="1">
        <v>0.6281200925925926</v>
      </c>
      <c r="B285" t="s">
        <v>1</v>
      </c>
      <c r="C285">
        <v>284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1</v>
      </c>
      <c r="M285">
        <v>1</v>
      </c>
      <c r="N285">
        <v>1</v>
      </c>
      <c r="O285">
        <v>1</v>
      </c>
      <c r="P285">
        <v>1</v>
      </c>
      <c r="Q285">
        <v>1</v>
      </c>
      <c r="R285">
        <v>1</v>
      </c>
      <c r="S285">
        <v>1</v>
      </c>
    </row>
    <row r="286" spans="1:19" x14ac:dyDescent="0.25">
      <c r="A286" s="1">
        <v>0.62812020833333337</v>
      </c>
      <c r="B286" t="s">
        <v>1</v>
      </c>
      <c r="C286">
        <v>285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1</v>
      </c>
      <c r="M286">
        <v>1</v>
      </c>
      <c r="N286">
        <v>1</v>
      </c>
      <c r="O286">
        <v>1</v>
      </c>
      <c r="P286">
        <v>1</v>
      </c>
      <c r="Q286">
        <v>1</v>
      </c>
      <c r="R286">
        <v>1</v>
      </c>
      <c r="S286">
        <v>1</v>
      </c>
    </row>
    <row r="287" spans="1:19" x14ac:dyDescent="0.25">
      <c r="A287" s="1">
        <v>0.62812032407407403</v>
      </c>
      <c r="B287" t="s">
        <v>1</v>
      </c>
      <c r="C287">
        <v>286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1</v>
      </c>
      <c r="Q287">
        <v>1</v>
      </c>
      <c r="R287">
        <v>1</v>
      </c>
      <c r="S287">
        <v>1</v>
      </c>
    </row>
    <row r="288" spans="1:19" x14ac:dyDescent="0.25">
      <c r="A288" s="1">
        <v>0.6281204398148148</v>
      </c>
      <c r="B288" t="s">
        <v>1</v>
      </c>
      <c r="C288">
        <v>287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1</v>
      </c>
      <c r="M288">
        <v>1</v>
      </c>
      <c r="N288">
        <v>1</v>
      </c>
      <c r="O288">
        <v>1</v>
      </c>
      <c r="P288">
        <v>1</v>
      </c>
      <c r="Q288">
        <v>1</v>
      </c>
      <c r="R288">
        <v>1</v>
      </c>
      <c r="S288">
        <v>1</v>
      </c>
    </row>
    <row r="289" spans="1:19" x14ac:dyDescent="0.25">
      <c r="A289" s="1">
        <v>0.62812055555555557</v>
      </c>
      <c r="B289" t="s">
        <v>1</v>
      </c>
      <c r="C289">
        <v>288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1</v>
      </c>
      <c r="M289">
        <v>1</v>
      </c>
      <c r="N289">
        <v>1</v>
      </c>
      <c r="O289">
        <v>1</v>
      </c>
      <c r="P289">
        <v>1</v>
      </c>
      <c r="Q289">
        <v>1</v>
      </c>
      <c r="R289">
        <v>1</v>
      </c>
      <c r="S289">
        <v>1</v>
      </c>
    </row>
    <row r="290" spans="1:19" x14ac:dyDescent="0.25">
      <c r="A290" s="1">
        <v>0.62812067129629634</v>
      </c>
      <c r="B290" t="s">
        <v>1</v>
      </c>
      <c r="C290">
        <v>289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1</v>
      </c>
      <c r="M290">
        <v>1</v>
      </c>
      <c r="N290">
        <v>1</v>
      </c>
      <c r="O290">
        <v>1</v>
      </c>
      <c r="P290">
        <v>1</v>
      </c>
      <c r="Q290">
        <v>1</v>
      </c>
      <c r="R290">
        <v>1</v>
      </c>
      <c r="S290">
        <v>1</v>
      </c>
    </row>
    <row r="291" spans="1:19" x14ac:dyDescent="0.25">
      <c r="A291" s="1">
        <v>0.628120787037037</v>
      </c>
      <c r="B291" t="s">
        <v>1</v>
      </c>
      <c r="C291">
        <v>290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1</v>
      </c>
      <c r="M291">
        <v>1</v>
      </c>
      <c r="N291">
        <v>1</v>
      </c>
      <c r="O291">
        <v>1</v>
      </c>
      <c r="P291">
        <v>1</v>
      </c>
      <c r="Q291">
        <v>1</v>
      </c>
      <c r="R291">
        <v>1</v>
      </c>
      <c r="S291">
        <v>1</v>
      </c>
    </row>
    <row r="292" spans="1:19" x14ac:dyDescent="0.25">
      <c r="A292" s="1">
        <v>0.62812090277777777</v>
      </c>
      <c r="B292" t="s">
        <v>1</v>
      </c>
      <c r="C292">
        <v>291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1</v>
      </c>
      <c r="M292">
        <v>1</v>
      </c>
      <c r="N292">
        <v>1</v>
      </c>
      <c r="O292">
        <v>1</v>
      </c>
      <c r="P292">
        <v>1</v>
      </c>
      <c r="Q292">
        <v>1</v>
      </c>
      <c r="R292">
        <v>1</v>
      </c>
      <c r="S292">
        <v>1</v>
      </c>
    </row>
    <row r="293" spans="1:19" x14ac:dyDescent="0.25">
      <c r="A293" s="1">
        <v>0.62812100694444439</v>
      </c>
      <c r="B293" t="s">
        <v>1</v>
      </c>
      <c r="C293">
        <v>292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1</v>
      </c>
      <c r="Q293">
        <v>1</v>
      </c>
      <c r="R293">
        <v>1</v>
      </c>
      <c r="S293">
        <v>1</v>
      </c>
    </row>
    <row r="294" spans="1:19" x14ac:dyDescent="0.25">
      <c r="A294" s="1">
        <v>0.62812112268518516</v>
      </c>
      <c r="B294" t="s">
        <v>1</v>
      </c>
      <c r="C294">
        <v>293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1</v>
      </c>
      <c r="M294">
        <v>1</v>
      </c>
      <c r="N294">
        <v>1</v>
      </c>
      <c r="O294">
        <v>1</v>
      </c>
      <c r="P294">
        <v>1</v>
      </c>
      <c r="Q294">
        <v>1</v>
      </c>
      <c r="R294">
        <v>1</v>
      </c>
      <c r="S294">
        <v>1</v>
      </c>
    </row>
    <row r="295" spans="1:19" x14ac:dyDescent="0.25">
      <c r="A295" s="1">
        <v>0.62812124999999996</v>
      </c>
      <c r="B295" t="s">
        <v>1</v>
      </c>
      <c r="C295">
        <v>294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1</v>
      </c>
      <c r="M295">
        <v>1</v>
      </c>
      <c r="N295">
        <v>1</v>
      </c>
      <c r="O295">
        <v>1</v>
      </c>
      <c r="P295">
        <v>1</v>
      </c>
      <c r="Q295">
        <v>1</v>
      </c>
      <c r="R295">
        <v>1</v>
      </c>
      <c r="S295">
        <v>1</v>
      </c>
    </row>
    <row r="296" spans="1:19" x14ac:dyDescent="0.25">
      <c r="A296" s="1">
        <v>0.62812136574074073</v>
      </c>
      <c r="B296" t="s">
        <v>1</v>
      </c>
      <c r="C296">
        <v>295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1</v>
      </c>
      <c r="M296">
        <v>1</v>
      </c>
      <c r="N296">
        <v>1</v>
      </c>
      <c r="O296">
        <v>1</v>
      </c>
      <c r="P296">
        <v>1</v>
      </c>
      <c r="Q296">
        <v>1</v>
      </c>
      <c r="R296">
        <v>1</v>
      </c>
      <c r="S296">
        <v>1</v>
      </c>
    </row>
    <row r="297" spans="1:19" x14ac:dyDescent="0.25">
      <c r="A297" s="1">
        <v>0.6281214814814815</v>
      </c>
      <c r="B297" t="s">
        <v>1</v>
      </c>
      <c r="C297">
        <v>296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1</v>
      </c>
      <c r="M297">
        <v>1</v>
      </c>
      <c r="N297">
        <v>1</v>
      </c>
      <c r="O297">
        <v>1</v>
      </c>
      <c r="P297">
        <v>1</v>
      </c>
      <c r="Q297">
        <v>1</v>
      </c>
      <c r="R297">
        <v>1</v>
      </c>
      <c r="S297">
        <v>1</v>
      </c>
    </row>
    <row r="298" spans="1:19" x14ac:dyDescent="0.25">
      <c r="A298" s="1">
        <v>0.62812159722222227</v>
      </c>
      <c r="B298" t="s">
        <v>1</v>
      </c>
      <c r="C298">
        <v>297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1</v>
      </c>
      <c r="M298">
        <v>1</v>
      </c>
      <c r="N298">
        <v>1</v>
      </c>
      <c r="O298">
        <v>1</v>
      </c>
      <c r="P298">
        <v>1</v>
      </c>
      <c r="Q298">
        <v>1</v>
      </c>
      <c r="R298">
        <v>1</v>
      </c>
      <c r="S298">
        <v>1</v>
      </c>
    </row>
    <row r="299" spans="1:19" x14ac:dyDescent="0.25">
      <c r="A299" s="1">
        <v>0.6281217013888889</v>
      </c>
      <c r="B299" t="s">
        <v>1</v>
      </c>
      <c r="C299">
        <v>298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1</v>
      </c>
      <c r="M299">
        <v>1</v>
      </c>
      <c r="N299">
        <v>1</v>
      </c>
      <c r="O299">
        <v>1</v>
      </c>
      <c r="P299">
        <v>1</v>
      </c>
      <c r="Q299">
        <v>1</v>
      </c>
      <c r="R299">
        <v>1</v>
      </c>
      <c r="S299">
        <v>1</v>
      </c>
    </row>
    <row r="300" spans="1:19" x14ac:dyDescent="0.25">
      <c r="A300" s="1">
        <v>0.62812181712962967</v>
      </c>
      <c r="B300" t="s">
        <v>1</v>
      </c>
      <c r="C300">
        <v>299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1</v>
      </c>
      <c r="M300">
        <v>1</v>
      </c>
      <c r="N300">
        <v>1</v>
      </c>
      <c r="O300">
        <v>1</v>
      </c>
      <c r="P300">
        <v>1</v>
      </c>
      <c r="Q300">
        <v>1</v>
      </c>
      <c r="R300">
        <v>1</v>
      </c>
      <c r="S300">
        <v>1</v>
      </c>
    </row>
    <row r="301" spans="1:19" x14ac:dyDescent="0.25">
      <c r="A301" s="1">
        <v>0.62812193287037033</v>
      </c>
      <c r="B301" t="s">
        <v>1</v>
      </c>
      <c r="C301">
        <v>300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1</v>
      </c>
      <c r="M301">
        <v>1</v>
      </c>
      <c r="N301">
        <v>1</v>
      </c>
      <c r="O301">
        <v>1</v>
      </c>
      <c r="P301">
        <v>1</v>
      </c>
      <c r="Q301">
        <v>1</v>
      </c>
      <c r="R301">
        <v>1</v>
      </c>
      <c r="S301">
        <v>1</v>
      </c>
    </row>
    <row r="302" spans="1:19" x14ac:dyDescent="0.25">
      <c r="A302" s="1">
        <v>0.62812204861111109</v>
      </c>
      <c r="B302" t="s">
        <v>1</v>
      </c>
      <c r="C302">
        <v>301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1</v>
      </c>
      <c r="M302">
        <v>1</v>
      </c>
      <c r="N302">
        <v>1</v>
      </c>
      <c r="O302">
        <v>1</v>
      </c>
      <c r="P302">
        <v>1</v>
      </c>
      <c r="Q302">
        <v>1</v>
      </c>
      <c r="R302">
        <v>1</v>
      </c>
      <c r="S302">
        <v>1</v>
      </c>
    </row>
    <row r="303" spans="1:19" x14ac:dyDescent="0.25">
      <c r="A303" s="1">
        <v>0.6281221759259259</v>
      </c>
      <c r="B303" t="s">
        <v>1</v>
      </c>
      <c r="C303">
        <v>302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1</v>
      </c>
      <c r="M303">
        <v>1</v>
      </c>
      <c r="N303">
        <v>1</v>
      </c>
      <c r="O303">
        <v>1</v>
      </c>
      <c r="P303">
        <v>1</v>
      </c>
      <c r="Q303">
        <v>1</v>
      </c>
      <c r="R303">
        <v>1</v>
      </c>
      <c r="S303">
        <v>1</v>
      </c>
    </row>
    <row r="304" spans="1:19" x14ac:dyDescent="0.25">
      <c r="A304" s="1">
        <v>0.62812229166666667</v>
      </c>
      <c r="B304" t="s">
        <v>1</v>
      </c>
      <c r="C304">
        <v>303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1</v>
      </c>
      <c r="M304">
        <v>1</v>
      </c>
      <c r="N304">
        <v>1</v>
      </c>
      <c r="O304">
        <v>1</v>
      </c>
      <c r="P304">
        <v>1</v>
      </c>
      <c r="Q304">
        <v>1</v>
      </c>
      <c r="R304">
        <v>1</v>
      </c>
      <c r="S304">
        <v>1</v>
      </c>
    </row>
    <row r="305" spans="1:19" x14ac:dyDescent="0.25">
      <c r="A305" s="1">
        <v>0.62812239583333329</v>
      </c>
      <c r="B305" t="s">
        <v>1</v>
      </c>
      <c r="C305">
        <v>304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1</v>
      </c>
      <c r="M305">
        <v>1</v>
      </c>
      <c r="N305">
        <v>1</v>
      </c>
      <c r="O305">
        <v>1</v>
      </c>
      <c r="P305">
        <v>1</v>
      </c>
      <c r="Q305">
        <v>1</v>
      </c>
      <c r="R305">
        <v>1</v>
      </c>
      <c r="S305">
        <v>1</v>
      </c>
    </row>
    <row r="306" spans="1:19" x14ac:dyDescent="0.25">
      <c r="A306" s="1">
        <v>0.62812251157407406</v>
      </c>
      <c r="B306" t="s">
        <v>1</v>
      </c>
      <c r="C306">
        <v>305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1</v>
      </c>
      <c r="M306">
        <v>1</v>
      </c>
      <c r="N306">
        <v>1</v>
      </c>
      <c r="O306">
        <v>1</v>
      </c>
      <c r="P306">
        <v>1</v>
      </c>
      <c r="Q306">
        <v>1</v>
      </c>
      <c r="R306">
        <v>1</v>
      </c>
      <c r="S306">
        <v>1</v>
      </c>
    </row>
    <row r="307" spans="1:19" x14ac:dyDescent="0.25">
      <c r="A307" s="1">
        <v>0.62812262731481483</v>
      </c>
      <c r="B307" t="s">
        <v>1</v>
      </c>
      <c r="C307">
        <v>306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1</v>
      </c>
      <c r="M307">
        <v>1</v>
      </c>
      <c r="N307">
        <v>1</v>
      </c>
      <c r="O307">
        <v>1</v>
      </c>
      <c r="P307">
        <v>1</v>
      </c>
      <c r="Q307">
        <v>1</v>
      </c>
      <c r="R307">
        <v>1</v>
      </c>
      <c r="S307">
        <v>1</v>
      </c>
    </row>
    <row r="308" spans="1:19" x14ac:dyDescent="0.25">
      <c r="A308" s="1">
        <v>0.6281227430555556</v>
      </c>
      <c r="B308" t="s">
        <v>1</v>
      </c>
      <c r="C308">
        <v>307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1</v>
      </c>
      <c r="M308">
        <v>1</v>
      </c>
      <c r="N308">
        <v>1</v>
      </c>
      <c r="O308">
        <v>1</v>
      </c>
      <c r="P308">
        <v>1</v>
      </c>
      <c r="Q308">
        <v>1</v>
      </c>
      <c r="R308">
        <v>1</v>
      </c>
      <c r="S308">
        <v>1</v>
      </c>
    </row>
    <row r="309" spans="1:19" x14ac:dyDescent="0.25">
      <c r="A309" s="1">
        <v>0.6281228703703704</v>
      </c>
      <c r="B309" t="s">
        <v>1</v>
      </c>
      <c r="C309">
        <v>308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1</v>
      </c>
      <c r="M309">
        <v>1</v>
      </c>
      <c r="N309">
        <v>1</v>
      </c>
      <c r="O309">
        <v>1</v>
      </c>
      <c r="P309">
        <v>1</v>
      </c>
      <c r="Q309">
        <v>1</v>
      </c>
      <c r="R309">
        <v>1</v>
      </c>
      <c r="S309">
        <v>1</v>
      </c>
    </row>
    <row r="310" spans="1:19" x14ac:dyDescent="0.25">
      <c r="A310" s="1">
        <v>0.62812297453703703</v>
      </c>
      <c r="B310" t="s">
        <v>1</v>
      </c>
      <c r="C310">
        <v>309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1</v>
      </c>
      <c r="M310">
        <v>1</v>
      </c>
      <c r="N310">
        <v>1</v>
      </c>
      <c r="O310">
        <v>1</v>
      </c>
      <c r="P310">
        <v>1</v>
      </c>
      <c r="Q310">
        <v>1</v>
      </c>
      <c r="R310">
        <v>1</v>
      </c>
      <c r="S310">
        <v>1</v>
      </c>
    </row>
    <row r="311" spans="1:19" x14ac:dyDescent="0.25">
      <c r="A311" s="1">
        <v>0.6281230902777778</v>
      </c>
      <c r="B311" t="s">
        <v>1</v>
      </c>
      <c r="C311">
        <v>310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1</v>
      </c>
      <c r="M311">
        <v>1</v>
      </c>
      <c r="N311">
        <v>1</v>
      </c>
      <c r="O311">
        <v>1</v>
      </c>
      <c r="P311">
        <v>1</v>
      </c>
      <c r="Q311">
        <v>1</v>
      </c>
      <c r="R311">
        <v>1</v>
      </c>
      <c r="S311">
        <v>1</v>
      </c>
    </row>
    <row r="312" spans="1:19" x14ac:dyDescent="0.25">
      <c r="A312" s="1">
        <v>0.62812320601851857</v>
      </c>
      <c r="B312" t="s">
        <v>1</v>
      </c>
      <c r="C312">
        <v>311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1</v>
      </c>
      <c r="M312">
        <v>1</v>
      </c>
      <c r="N312">
        <v>1</v>
      </c>
      <c r="O312">
        <v>1</v>
      </c>
      <c r="P312">
        <v>1</v>
      </c>
      <c r="Q312">
        <v>1</v>
      </c>
      <c r="R312">
        <v>1</v>
      </c>
      <c r="S312">
        <v>1</v>
      </c>
    </row>
    <row r="313" spans="1:19" x14ac:dyDescent="0.25">
      <c r="A313" s="1">
        <v>0.62812332175925922</v>
      </c>
      <c r="B313" t="s">
        <v>1</v>
      </c>
      <c r="C313">
        <v>312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1</v>
      </c>
      <c r="M313">
        <v>1</v>
      </c>
      <c r="N313">
        <v>1</v>
      </c>
      <c r="O313">
        <v>1</v>
      </c>
      <c r="P313">
        <v>1</v>
      </c>
      <c r="Q313">
        <v>1</v>
      </c>
      <c r="R313">
        <v>1</v>
      </c>
      <c r="S313">
        <v>1</v>
      </c>
    </row>
    <row r="314" spans="1:19" x14ac:dyDescent="0.25">
      <c r="A314" s="1">
        <v>0.62812343749999999</v>
      </c>
      <c r="B314" t="s">
        <v>1</v>
      </c>
      <c r="C314">
        <v>313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1</v>
      </c>
      <c r="Q314">
        <v>1</v>
      </c>
      <c r="R314">
        <v>1</v>
      </c>
      <c r="S314">
        <v>1</v>
      </c>
    </row>
    <row r="315" spans="1:19" x14ac:dyDescent="0.25">
      <c r="A315" s="1">
        <v>0.62812355324074076</v>
      </c>
      <c r="B315" t="s">
        <v>1</v>
      </c>
      <c r="C315">
        <v>314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1</v>
      </c>
      <c r="M315">
        <v>1</v>
      </c>
      <c r="N315">
        <v>1</v>
      </c>
      <c r="O315">
        <v>1</v>
      </c>
      <c r="P315">
        <v>1</v>
      </c>
      <c r="Q315">
        <v>1</v>
      </c>
      <c r="R315">
        <v>1</v>
      </c>
      <c r="S315">
        <v>1</v>
      </c>
    </row>
    <row r="316" spans="1:19" x14ac:dyDescent="0.25">
      <c r="A316" s="1">
        <v>0.62812379629629633</v>
      </c>
      <c r="B316" t="s">
        <v>2</v>
      </c>
      <c r="C316">
        <v>315</v>
      </c>
      <c r="D316">
        <v>0</v>
      </c>
      <c r="E316">
        <v>1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1</v>
      </c>
      <c r="M316">
        <v>1</v>
      </c>
      <c r="N316">
        <v>1</v>
      </c>
      <c r="O316">
        <v>1</v>
      </c>
      <c r="P316">
        <v>1</v>
      </c>
      <c r="Q316">
        <v>1</v>
      </c>
      <c r="R316">
        <v>1</v>
      </c>
      <c r="S316">
        <v>1</v>
      </c>
    </row>
    <row r="317" spans="1:19" x14ac:dyDescent="0.25">
      <c r="A317" s="1">
        <v>0.62812390046296296</v>
      </c>
      <c r="B317" t="s">
        <v>2</v>
      </c>
      <c r="C317">
        <v>316</v>
      </c>
      <c r="D317">
        <v>0</v>
      </c>
      <c r="E317">
        <v>1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1</v>
      </c>
      <c r="M317">
        <v>1</v>
      </c>
      <c r="N317">
        <v>1</v>
      </c>
      <c r="O317">
        <v>1</v>
      </c>
      <c r="P317">
        <v>1</v>
      </c>
      <c r="Q317">
        <v>1</v>
      </c>
      <c r="R317">
        <v>1</v>
      </c>
      <c r="S317">
        <v>1</v>
      </c>
    </row>
    <row r="318" spans="1:19" x14ac:dyDescent="0.25">
      <c r="A318" s="1">
        <v>0.62812401620370373</v>
      </c>
      <c r="B318" t="s">
        <v>2</v>
      </c>
      <c r="C318">
        <v>317</v>
      </c>
      <c r="D318">
        <v>0</v>
      </c>
      <c r="E318">
        <v>1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1</v>
      </c>
      <c r="M318">
        <v>1</v>
      </c>
      <c r="N318">
        <v>1</v>
      </c>
      <c r="O318">
        <v>1</v>
      </c>
      <c r="P318">
        <v>1</v>
      </c>
      <c r="Q318">
        <v>1</v>
      </c>
      <c r="R318">
        <v>1</v>
      </c>
      <c r="S318">
        <v>1</v>
      </c>
    </row>
    <row r="319" spans="1:19" x14ac:dyDescent="0.25">
      <c r="A319" s="1">
        <v>0.6281241319444445</v>
      </c>
      <c r="B319" t="s">
        <v>2</v>
      </c>
      <c r="C319">
        <v>318</v>
      </c>
      <c r="D319">
        <v>0</v>
      </c>
      <c r="E319">
        <v>1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1</v>
      </c>
      <c r="Q319">
        <v>1</v>
      </c>
      <c r="R319">
        <v>1</v>
      </c>
      <c r="S319">
        <v>1</v>
      </c>
    </row>
    <row r="320" spans="1:19" x14ac:dyDescent="0.25">
      <c r="A320" s="1">
        <v>0.62812424768518516</v>
      </c>
      <c r="B320" t="s">
        <v>2</v>
      </c>
      <c r="C320">
        <v>319</v>
      </c>
      <c r="D320">
        <v>0</v>
      </c>
      <c r="E320">
        <v>1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1</v>
      </c>
      <c r="M320">
        <v>1</v>
      </c>
      <c r="N320">
        <v>1</v>
      </c>
      <c r="O320">
        <v>1</v>
      </c>
      <c r="P320">
        <v>1</v>
      </c>
      <c r="Q320">
        <v>1</v>
      </c>
      <c r="R320">
        <v>1</v>
      </c>
      <c r="S320">
        <v>1</v>
      </c>
    </row>
    <row r="321" spans="1:19" x14ac:dyDescent="0.25">
      <c r="A321" s="1">
        <v>0.62812436342592592</v>
      </c>
      <c r="B321" t="s">
        <v>2</v>
      </c>
      <c r="C321">
        <v>320</v>
      </c>
      <c r="D321">
        <v>0</v>
      </c>
      <c r="E321">
        <v>1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1</v>
      </c>
      <c r="M321">
        <v>1</v>
      </c>
      <c r="N321">
        <v>1</v>
      </c>
      <c r="O321">
        <v>1</v>
      </c>
      <c r="P321">
        <v>1</v>
      </c>
      <c r="Q321">
        <v>1</v>
      </c>
      <c r="R321">
        <v>1</v>
      </c>
      <c r="S321">
        <v>1</v>
      </c>
    </row>
    <row r="322" spans="1:19" x14ac:dyDescent="0.25">
      <c r="A322" s="1">
        <v>0.62812447916666669</v>
      </c>
      <c r="B322" t="s">
        <v>2</v>
      </c>
      <c r="C322">
        <v>321</v>
      </c>
      <c r="D322">
        <v>0</v>
      </c>
      <c r="E322">
        <v>1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1</v>
      </c>
      <c r="M322">
        <v>1</v>
      </c>
      <c r="N322">
        <v>1</v>
      </c>
      <c r="O322">
        <v>1</v>
      </c>
      <c r="P322">
        <v>1</v>
      </c>
      <c r="Q322">
        <v>1</v>
      </c>
      <c r="R322">
        <v>1</v>
      </c>
      <c r="S322">
        <v>1</v>
      </c>
    </row>
    <row r="323" spans="1:19" x14ac:dyDescent="0.25">
      <c r="A323" s="1">
        <v>0.62812459490740735</v>
      </c>
      <c r="B323" t="s">
        <v>1</v>
      </c>
      <c r="C323">
        <v>322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1</v>
      </c>
      <c r="M323">
        <v>1</v>
      </c>
      <c r="N323">
        <v>1</v>
      </c>
      <c r="O323">
        <v>1</v>
      </c>
      <c r="P323">
        <v>1</v>
      </c>
      <c r="Q323">
        <v>1</v>
      </c>
      <c r="R323">
        <v>1</v>
      </c>
      <c r="S323">
        <v>1</v>
      </c>
    </row>
    <row r="324" spans="1:19" x14ac:dyDescent="0.25">
      <c r="A324" s="1">
        <v>0.62812471064814812</v>
      </c>
      <c r="B324" t="s">
        <v>1</v>
      </c>
      <c r="C324">
        <v>323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1</v>
      </c>
      <c r="M324">
        <v>1</v>
      </c>
      <c r="N324">
        <v>1</v>
      </c>
      <c r="O324">
        <v>1</v>
      </c>
      <c r="P324">
        <v>1</v>
      </c>
      <c r="Q324">
        <v>1</v>
      </c>
      <c r="R324">
        <v>1</v>
      </c>
      <c r="S324">
        <v>1</v>
      </c>
    </row>
    <row r="325" spans="1:19" x14ac:dyDescent="0.25">
      <c r="A325" s="1">
        <v>0.62812482638888889</v>
      </c>
      <c r="B325" t="s">
        <v>1</v>
      </c>
      <c r="C325">
        <v>324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1</v>
      </c>
      <c r="M325">
        <v>1</v>
      </c>
      <c r="N325">
        <v>1</v>
      </c>
      <c r="O325">
        <v>1</v>
      </c>
      <c r="P325">
        <v>1</v>
      </c>
      <c r="Q325">
        <v>1</v>
      </c>
      <c r="R325">
        <v>1</v>
      </c>
      <c r="S325">
        <v>1</v>
      </c>
    </row>
    <row r="326" spans="1:19" x14ac:dyDescent="0.25">
      <c r="A326" s="1">
        <v>0.62812494212962966</v>
      </c>
      <c r="B326" t="s">
        <v>1</v>
      </c>
      <c r="C326">
        <v>325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1</v>
      </c>
      <c r="M326">
        <v>1</v>
      </c>
      <c r="N326">
        <v>1</v>
      </c>
      <c r="O326">
        <v>1</v>
      </c>
      <c r="P326">
        <v>1</v>
      </c>
      <c r="Q326">
        <v>1</v>
      </c>
      <c r="R326">
        <v>1</v>
      </c>
      <c r="S326">
        <v>1</v>
      </c>
    </row>
    <row r="327" spans="1:19" x14ac:dyDescent="0.25">
      <c r="A327" s="1">
        <v>0.62812505787037032</v>
      </c>
      <c r="B327" t="s">
        <v>1</v>
      </c>
      <c r="C327">
        <v>326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1</v>
      </c>
      <c r="M327">
        <v>1</v>
      </c>
      <c r="N327">
        <v>1</v>
      </c>
      <c r="O327">
        <v>1</v>
      </c>
      <c r="P327">
        <v>1</v>
      </c>
      <c r="Q327">
        <v>1</v>
      </c>
      <c r="R327">
        <v>1</v>
      </c>
      <c r="S327">
        <v>1</v>
      </c>
    </row>
    <row r="328" spans="1:19" x14ac:dyDescent="0.25">
      <c r="A328" s="1">
        <v>0.62812517361111109</v>
      </c>
      <c r="B328" t="s">
        <v>1</v>
      </c>
      <c r="C328">
        <v>327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1</v>
      </c>
      <c r="M328">
        <v>1</v>
      </c>
      <c r="N328">
        <v>1</v>
      </c>
      <c r="O328">
        <v>1</v>
      </c>
      <c r="P328">
        <v>1</v>
      </c>
      <c r="Q328">
        <v>1</v>
      </c>
      <c r="R328">
        <v>1</v>
      </c>
      <c r="S328">
        <v>1</v>
      </c>
    </row>
    <row r="329" spans="1:19" x14ac:dyDescent="0.25">
      <c r="A329" s="1">
        <v>0.62812528935185186</v>
      </c>
      <c r="B329" t="s">
        <v>1</v>
      </c>
      <c r="C329">
        <v>328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1</v>
      </c>
      <c r="M329">
        <v>1</v>
      </c>
      <c r="N329">
        <v>1</v>
      </c>
      <c r="O329">
        <v>1</v>
      </c>
      <c r="P329">
        <v>1</v>
      </c>
      <c r="Q329">
        <v>1</v>
      </c>
      <c r="R329">
        <v>1</v>
      </c>
      <c r="S329">
        <v>1</v>
      </c>
    </row>
    <row r="330" spans="1:19" x14ac:dyDescent="0.25">
      <c r="A330" s="1">
        <v>0.62812540509259263</v>
      </c>
      <c r="B330" t="s">
        <v>1</v>
      </c>
      <c r="C330">
        <v>329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1</v>
      </c>
      <c r="R330">
        <v>1</v>
      </c>
      <c r="S330">
        <v>1</v>
      </c>
    </row>
    <row r="331" spans="1:19" x14ac:dyDescent="0.25">
      <c r="A331" s="1">
        <v>0.62812552083333328</v>
      </c>
      <c r="B331" t="s">
        <v>1</v>
      </c>
      <c r="C331">
        <v>330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</row>
    <row r="332" spans="1:19" x14ac:dyDescent="0.25">
      <c r="A332" s="1">
        <v>0.62812563657407405</v>
      </c>
      <c r="B332" t="s">
        <v>1</v>
      </c>
      <c r="C332">
        <v>331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1</v>
      </c>
      <c r="M332">
        <v>1</v>
      </c>
      <c r="N332">
        <v>1</v>
      </c>
      <c r="O332">
        <v>1</v>
      </c>
      <c r="P332">
        <v>1</v>
      </c>
      <c r="Q332">
        <v>1</v>
      </c>
      <c r="R332">
        <v>1</v>
      </c>
      <c r="S332">
        <v>1</v>
      </c>
    </row>
    <row r="333" spans="1:19" x14ac:dyDescent="0.25">
      <c r="A333" s="1">
        <v>0.62812575231481482</v>
      </c>
      <c r="B333" t="s">
        <v>1</v>
      </c>
      <c r="C333">
        <v>332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1</v>
      </c>
      <c r="M333">
        <v>1</v>
      </c>
      <c r="N333">
        <v>1</v>
      </c>
      <c r="O333">
        <v>1</v>
      </c>
      <c r="P333">
        <v>1</v>
      </c>
      <c r="Q333">
        <v>1</v>
      </c>
      <c r="R333">
        <v>1</v>
      </c>
      <c r="S333">
        <v>1</v>
      </c>
    </row>
    <row r="334" spans="1:19" x14ac:dyDescent="0.25">
      <c r="A334" s="1">
        <v>0.62812586805555559</v>
      </c>
      <c r="B334" t="s">
        <v>1</v>
      </c>
      <c r="C334">
        <v>333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1</v>
      </c>
      <c r="Q334">
        <v>1</v>
      </c>
      <c r="R334">
        <v>1</v>
      </c>
      <c r="S334">
        <v>1</v>
      </c>
    </row>
    <row r="335" spans="1:19" x14ac:dyDescent="0.25">
      <c r="A335" s="1">
        <v>0.62812598379629625</v>
      </c>
      <c r="B335" t="s">
        <v>1</v>
      </c>
      <c r="C335">
        <v>334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1</v>
      </c>
      <c r="M335">
        <v>1</v>
      </c>
      <c r="N335">
        <v>1</v>
      </c>
      <c r="O335">
        <v>1</v>
      </c>
      <c r="P335">
        <v>1</v>
      </c>
      <c r="Q335">
        <v>1</v>
      </c>
      <c r="R335">
        <v>1</v>
      </c>
      <c r="S335">
        <v>1</v>
      </c>
    </row>
    <row r="336" spans="1:19" x14ac:dyDescent="0.25">
      <c r="A336" s="1">
        <v>0.62812609953703702</v>
      </c>
      <c r="B336" t="s">
        <v>1</v>
      </c>
      <c r="C336">
        <v>335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1</v>
      </c>
      <c r="M336">
        <v>1</v>
      </c>
      <c r="N336">
        <v>1</v>
      </c>
      <c r="O336">
        <v>1</v>
      </c>
      <c r="P336">
        <v>1</v>
      </c>
      <c r="Q336">
        <v>1</v>
      </c>
      <c r="R336">
        <v>1</v>
      </c>
      <c r="S336">
        <v>1</v>
      </c>
    </row>
    <row r="337" spans="1:19" x14ac:dyDescent="0.25">
      <c r="A337" s="1">
        <v>0.62812621527777779</v>
      </c>
      <c r="B337" t="s">
        <v>1</v>
      </c>
      <c r="C337">
        <v>336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1</v>
      </c>
      <c r="M337">
        <v>1</v>
      </c>
      <c r="N337">
        <v>1</v>
      </c>
      <c r="O337">
        <v>1</v>
      </c>
      <c r="P337">
        <v>1</v>
      </c>
      <c r="Q337">
        <v>1</v>
      </c>
      <c r="R337">
        <v>1</v>
      </c>
      <c r="S337">
        <v>1</v>
      </c>
    </row>
    <row r="338" spans="1:19" x14ac:dyDescent="0.25">
      <c r="A338" s="1">
        <v>0.62812633101851856</v>
      </c>
      <c r="B338" t="s">
        <v>1</v>
      </c>
      <c r="C338">
        <v>337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1</v>
      </c>
      <c r="M338">
        <v>1</v>
      </c>
      <c r="N338">
        <v>1</v>
      </c>
      <c r="O338">
        <v>1</v>
      </c>
      <c r="P338">
        <v>1</v>
      </c>
      <c r="Q338">
        <v>1</v>
      </c>
      <c r="R338">
        <v>1</v>
      </c>
      <c r="S338">
        <v>1</v>
      </c>
    </row>
    <row r="339" spans="1:19" x14ac:dyDescent="0.25">
      <c r="A339" s="1">
        <v>0.62812644675925922</v>
      </c>
      <c r="B339" t="s">
        <v>1</v>
      </c>
      <c r="C339">
        <v>338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1</v>
      </c>
      <c r="M339">
        <v>1</v>
      </c>
      <c r="N339">
        <v>1</v>
      </c>
      <c r="O339">
        <v>1</v>
      </c>
      <c r="P339">
        <v>1</v>
      </c>
      <c r="Q339">
        <v>1</v>
      </c>
      <c r="R339">
        <v>1</v>
      </c>
      <c r="S339">
        <v>1</v>
      </c>
    </row>
    <row r="340" spans="1:19" x14ac:dyDescent="0.25">
      <c r="A340" s="1">
        <v>0.62812656249999999</v>
      </c>
      <c r="B340" t="s">
        <v>1</v>
      </c>
      <c r="C340">
        <v>339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1</v>
      </c>
      <c r="M340">
        <v>1</v>
      </c>
      <c r="N340">
        <v>1</v>
      </c>
      <c r="O340">
        <v>1</v>
      </c>
      <c r="P340">
        <v>1</v>
      </c>
      <c r="Q340">
        <v>1</v>
      </c>
      <c r="R340">
        <v>1</v>
      </c>
      <c r="S340">
        <v>1</v>
      </c>
    </row>
    <row r="341" spans="1:19" x14ac:dyDescent="0.25">
      <c r="A341" s="1">
        <v>0.62812667824074075</v>
      </c>
      <c r="B341" t="s">
        <v>1</v>
      </c>
      <c r="C341">
        <v>340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1</v>
      </c>
      <c r="M341">
        <v>1</v>
      </c>
      <c r="N341">
        <v>1</v>
      </c>
      <c r="O341">
        <v>1</v>
      </c>
      <c r="P341">
        <v>1</v>
      </c>
      <c r="Q341">
        <v>1</v>
      </c>
      <c r="R341">
        <v>1</v>
      </c>
      <c r="S341">
        <v>1</v>
      </c>
    </row>
    <row r="342" spans="1:19" x14ac:dyDescent="0.25">
      <c r="A342" s="1">
        <v>0.62812679398148152</v>
      </c>
      <c r="B342" t="s">
        <v>1</v>
      </c>
      <c r="C342">
        <v>341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1</v>
      </c>
      <c r="M342">
        <v>1</v>
      </c>
      <c r="N342">
        <v>1</v>
      </c>
      <c r="O342">
        <v>1</v>
      </c>
      <c r="P342">
        <v>1</v>
      </c>
      <c r="Q342">
        <v>1</v>
      </c>
      <c r="R342">
        <v>1</v>
      </c>
      <c r="S342">
        <v>1</v>
      </c>
    </row>
    <row r="343" spans="1:19" x14ac:dyDescent="0.25">
      <c r="A343" s="1">
        <v>0.62812690972222218</v>
      </c>
      <c r="B343" t="s">
        <v>1</v>
      </c>
      <c r="C343">
        <v>342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1</v>
      </c>
      <c r="M343">
        <v>1</v>
      </c>
      <c r="N343">
        <v>1</v>
      </c>
      <c r="O343">
        <v>1</v>
      </c>
      <c r="P343">
        <v>1</v>
      </c>
      <c r="Q343">
        <v>1</v>
      </c>
      <c r="R343">
        <v>1</v>
      </c>
      <c r="S343">
        <v>1</v>
      </c>
    </row>
    <row r="344" spans="1:19" x14ac:dyDescent="0.25">
      <c r="A344" s="1">
        <v>0.62812702546296295</v>
      </c>
      <c r="B344" t="s">
        <v>1</v>
      </c>
      <c r="C344">
        <v>343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1</v>
      </c>
      <c r="M344">
        <v>1</v>
      </c>
      <c r="N344">
        <v>1</v>
      </c>
      <c r="O344">
        <v>1</v>
      </c>
      <c r="P344">
        <v>1</v>
      </c>
      <c r="Q344">
        <v>1</v>
      </c>
      <c r="R344">
        <v>1</v>
      </c>
      <c r="S344">
        <v>1</v>
      </c>
    </row>
    <row r="345" spans="1:19" x14ac:dyDescent="0.25">
      <c r="A345" s="1">
        <v>0.62812714120370372</v>
      </c>
      <c r="B345" t="s">
        <v>1</v>
      </c>
      <c r="C345">
        <v>344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1</v>
      </c>
      <c r="M345">
        <v>1</v>
      </c>
      <c r="N345">
        <v>1</v>
      </c>
      <c r="O345">
        <v>1</v>
      </c>
      <c r="P345">
        <v>1</v>
      </c>
      <c r="Q345">
        <v>1</v>
      </c>
      <c r="R345">
        <v>1</v>
      </c>
      <c r="S345">
        <v>1</v>
      </c>
    </row>
    <row r="346" spans="1:19" x14ac:dyDescent="0.25">
      <c r="A346" s="1">
        <v>0.62812725694444449</v>
      </c>
      <c r="B346" t="s">
        <v>1</v>
      </c>
      <c r="C346">
        <v>345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1</v>
      </c>
      <c r="M346">
        <v>1</v>
      </c>
      <c r="N346">
        <v>1</v>
      </c>
      <c r="O346">
        <v>1</v>
      </c>
      <c r="P346">
        <v>1</v>
      </c>
      <c r="Q346">
        <v>1</v>
      </c>
      <c r="R346">
        <v>1</v>
      </c>
      <c r="S346">
        <v>1</v>
      </c>
    </row>
    <row r="347" spans="1:19" x14ac:dyDescent="0.25">
      <c r="A347" s="1">
        <v>0.62812737268518515</v>
      </c>
      <c r="B347" t="s">
        <v>1</v>
      </c>
      <c r="C347">
        <v>346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1</v>
      </c>
      <c r="M347">
        <v>1</v>
      </c>
      <c r="N347">
        <v>1</v>
      </c>
      <c r="O347">
        <v>1</v>
      </c>
      <c r="P347">
        <v>1</v>
      </c>
      <c r="Q347">
        <v>1</v>
      </c>
      <c r="R347">
        <v>1</v>
      </c>
      <c r="S347">
        <v>1</v>
      </c>
    </row>
    <row r="348" spans="1:19" x14ac:dyDescent="0.25">
      <c r="A348" s="1">
        <v>0.62812748842592592</v>
      </c>
      <c r="B348" t="s">
        <v>1</v>
      </c>
      <c r="C348">
        <v>347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1</v>
      </c>
      <c r="M348">
        <v>1</v>
      </c>
      <c r="N348">
        <v>1</v>
      </c>
      <c r="O348">
        <v>1</v>
      </c>
      <c r="P348">
        <v>1</v>
      </c>
      <c r="Q348">
        <v>1</v>
      </c>
      <c r="R348">
        <v>1</v>
      </c>
      <c r="S348">
        <v>1</v>
      </c>
    </row>
    <row r="349" spans="1:19" x14ac:dyDescent="0.25">
      <c r="A349" s="1">
        <v>0.62812760416666669</v>
      </c>
      <c r="B349" t="s">
        <v>1</v>
      </c>
      <c r="C349">
        <v>348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1</v>
      </c>
      <c r="M349">
        <v>1</v>
      </c>
      <c r="N349">
        <v>1</v>
      </c>
      <c r="O349">
        <v>1</v>
      </c>
      <c r="P349">
        <v>1</v>
      </c>
      <c r="Q349">
        <v>1</v>
      </c>
      <c r="R349">
        <v>1</v>
      </c>
      <c r="S349">
        <v>1</v>
      </c>
    </row>
    <row r="350" spans="1:19" x14ac:dyDescent="0.25">
      <c r="A350" s="1">
        <v>0.62812771990740746</v>
      </c>
      <c r="B350" t="s">
        <v>1</v>
      </c>
      <c r="C350">
        <v>349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1</v>
      </c>
      <c r="M350">
        <v>1</v>
      </c>
      <c r="N350">
        <v>1</v>
      </c>
      <c r="O350">
        <v>1</v>
      </c>
      <c r="P350">
        <v>1</v>
      </c>
      <c r="Q350">
        <v>1</v>
      </c>
      <c r="R350">
        <v>1</v>
      </c>
      <c r="S350">
        <v>1</v>
      </c>
    </row>
    <row r="351" spans="1:19" x14ac:dyDescent="0.25">
      <c r="A351" s="1">
        <v>0.62812783564814811</v>
      </c>
      <c r="B351" t="s">
        <v>1</v>
      </c>
      <c r="C351">
        <v>350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1</v>
      </c>
      <c r="M351">
        <v>1</v>
      </c>
      <c r="N351">
        <v>1</v>
      </c>
      <c r="O351">
        <v>1</v>
      </c>
      <c r="P351">
        <v>1</v>
      </c>
      <c r="Q351">
        <v>1</v>
      </c>
      <c r="R351">
        <v>1</v>
      </c>
      <c r="S351">
        <v>1</v>
      </c>
    </row>
    <row r="352" spans="1:19" x14ac:dyDescent="0.25">
      <c r="A352" s="1">
        <v>0.62812795138888888</v>
      </c>
      <c r="B352" t="s">
        <v>1</v>
      </c>
      <c r="C352">
        <v>351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1</v>
      </c>
      <c r="M352">
        <v>1</v>
      </c>
      <c r="N352">
        <v>1</v>
      </c>
      <c r="O352">
        <v>1</v>
      </c>
      <c r="P352">
        <v>1</v>
      </c>
      <c r="Q352">
        <v>1</v>
      </c>
      <c r="R352">
        <v>1</v>
      </c>
      <c r="S352">
        <v>1</v>
      </c>
    </row>
    <row r="353" spans="1:19" x14ac:dyDescent="0.25">
      <c r="A353" s="1">
        <v>0.62812806712962965</v>
      </c>
      <c r="B353" t="s">
        <v>1</v>
      </c>
      <c r="C353">
        <v>352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1</v>
      </c>
      <c r="M353">
        <v>1</v>
      </c>
      <c r="N353">
        <v>1</v>
      </c>
      <c r="O353">
        <v>1</v>
      </c>
      <c r="P353">
        <v>1</v>
      </c>
      <c r="Q353">
        <v>1</v>
      </c>
      <c r="R353">
        <v>1</v>
      </c>
      <c r="S353">
        <v>1</v>
      </c>
    </row>
    <row r="354" spans="1:19" x14ac:dyDescent="0.25">
      <c r="A354" s="1">
        <v>0.62812818287037042</v>
      </c>
      <c r="B354" t="s">
        <v>1</v>
      </c>
      <c r="C354">
        <v>353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1</v>
      </c>
      <c r="M354">
        <v>1</v>
      </c>
      <c r="N354">
        <v>1</v>
      </c>
      <c r="O354">
        <v>1</v>
      </c>
      <c r="P354">
        <v>1</v>
      </c>
      <c r="Q354">
        <v>1</v>
      </c>
      <c r="R354">
        <v>1</v>
      </c>
      <c r="S354">
        <v>1</v>
      </c>
    </row>
    <row r="355" spans="1:19" x14ac:dyDescent="0.25">
      <c r="A355" s="1">
        <v>0.62812828703703705</v>
      </c>
      <c r="B355" t="s">
        <v>1</v>
      </c>
      <c r="C355">
        <v>354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1</v>
      </c>
      <c r="M355">
        <v>1</v>
      </c>
      <c r="N355">
        <v>1</v>
      </c>
      <c r="O355">
        <v>1</v>
      </c>
      <c r="P355">
        <v>1</v>
      </c>
      <c r="Q355">
        <v>1</v>
      </c>
      <c r="R355">
        <v>1</v>
      </c>
      <c r="S355">
        <v>1</v>
      </c>
    </row>
    <row r="356" spans="1:19" x14ac:dyDescent="0.25">
      <c r="A356" s="1">
        <v>0.62812841435185185</v>
      </c>
      <c r="B356" t="s">
        <v>1</v>
      </c>
      <c r="C356">
        <v>355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1</v>
      </c>
      <c r="M356">
        <v>1</v>
      </c>
      <c r="N356">
        <v>1</v>
      </c>
      <c r="O356">
        <v>1</v>
      </c>
      <c r="P356">
        <v>1</v>
      </c>
      <c r="Q356">
        <v>1</v>
      </c>
      <c r="R356">
        <v>1</v>
      </c>
      <c r="S356">
        <v>1</v>
      </c>
    </row>
    <row r="357" spans="1:19" x14ac:dyDescent="0.25">
      <c r="A357" s="1">
        <v>0.62812853009259262</v>
      </c>
      <c r="B357" t="s">
        <v>1</v>
      </c>
      <c r="C357">
        <v>356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1</v>
      </c>
      <c r="M357">
        <v>1</v>
      </c>
      <c r="N357">
        <v>1</v>
      </c>
      <c r="O357">
        <v>1</v>
      </c>
      <c r="P357">
        <v>1</v>
      </c>
      <c r="Q357">
        <v>1</v>
      </c>
      <c r="R357">
        <v>1</v>
      </c>
      <c r="S357">
        <v>1</v>
      </c>
    </row>
    <row r="358" spans="1:19" x14ac:dyDescent="0.25">
      <c r="A358" s="1">
        <v>0.62812864583333339</v>
      </c>
      <c r="B358" t="s">
        <v>1</v>
      </c>
      <c r="C358">
        <v>357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1</v>
      </c>
      <c r="M358">
        <v>1</v>
      </c>
      <c r="N358">
        <v>1</v>
      </c>
      <c r="O358">
        <v>1</v>
      </c>
      <c r="P358">
        <v>1</v>
      </c>
      <c r="Q358">
        <v>1</v>
      </c>
      <c r="R358">
        <v>1</v>
      </c>
      <c r="S358">
        <v>1</v>
      </c>
    </row>
    <row r="359" spans="1:19" x14ac:dyDescent="0.25">
      <c r="A359" s="1">
        <v>0.62812876157407405</v>
      </c>
      <c r="B359" t="s">
        <v>1</v>
      </c>
      <c r="C359">
        <v>358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1</v>
      </c>
      <c r="Q359">
        <v>1</v>
      </c>
      <c r="R359">
        <v>1</v>
      </c>
      <c r="S359">
        <v>1</v>
      </c>
    </row>
    <row r="360" spans="1:19" x14ac:dyDescent="0.25">
      <c r="A360" s="1">
        <v>0.62812887731481482</v>
      </c>
      <c r="B360" t="s">
        <v>1</v>
      </c>
      <c r="C360">
        <v>359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1</v>
      </c>
      <c r="M360">
        <v>1</v>
      </c>
      <c r="N360">
        <v>1</v>
      </c>
      <c r="O360">
        <v>1</v>
      </c>
      <c r="P360">
        <v>1</v>
      </c>
      <c r="Q360">
        <v>1</v>
      </c>
      <c r="R360">
        <v>1</v>
      </c>
      <c r="S360">
        <v>1</v>
      </c>
    </row>
    <row r="361" spans="1:19" x14ac:dyDescent="0.25">
      <c r="A361" s="1">
        <v>0.62812898148148144</v>
      </c>
      <c r="B361" t="s">
        <v>1</v>
      </c>
      <c r="C361">
        <v>360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1</v>
      </c>
      <c r="M361">
        <v>1</v>
      </c>
      <c r="N361">
        <v>1</v>
      </c>
      <c r="O361">
        <v>1</v>
      </c>
      <c r="P361">
        <v>1</v>
      </c>
      <c r="Q361">
        <v>1</v>
      </c>
      <c r="R361">
        <v>1</v>
      </c>
      <c r="S361">
        <v>1</v>
      </c>
    </row>
    <row r="362" spans="1:19" x14ac:dyDescent="0.25">
      <c r="A362" s="1">
        <v>0.62812909722222221</v>
      </c>
      <c r="B362" t="s">
        <v>1</v>
      </c>
      <c r="C362">
        <v>361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1</v>
      </c>
      <c r="M362">
        <v>1</v>
      </c>
      <c r="N362">
        <v>1</v>
      </c>
      <c r="O362">
        <v>1</v>
      </c>
      <c r="P362">
        <v>1</v>
      </c>
      <c r="Q362">
        <v>1</v>
      </c>
      <c r="R362">
        <v>1</v>
      </c>
      <c r="S362">
        <v>1</v>
      </c>
    </row>
    <row r="363" spans="1:19" x14ac:dyDescent="0.25">
      <c r="A363" s="1">
        <v>0.62812921296296298</v>
      </c>
      <c r="B363" t="s">
        <v>1</v>
      </c>
      <c r="C363">
        <v>362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1</v>
      </c>
      <c r="M363">
        <v>1</v>
      </c>
      <c r="N363">
        <v>1</v>
      </c>
      <c r="O363">
        <v>1</v>
      </c>
      <c r="P363">
        <v>1</v>
      </c>
      <c r="Q363">
        <v>1</v>
      </c>
      <c r="R363">
        <v>1</v>
      </c>
      <c r="S363">
        <v>1</v>
      </c>
    </row>
    <row r="364" spans="1:19" x14ac:dyDescent="0.25">
      <c r="A364" s="1">
        <v>0.62812934027777778</v>
      </c>
      <c r="B364" t="s">
        <v>1</v>
      </c>
      <c r="C364">
        <v>363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1</v>
      </c>
      <c r="M364">
        <v>1</v>
      </c>
      <c r="N364">
        <v>1</v>
      </c>
      <c r="O364">
        <v>1</v>
      </c>
      <c r="P364">
        <v>1</v>
      </c>
      <c r="Q364">
        <v>1</v>
      </c>
      <c r="R364">
        <v>1</v>
      </c>
      <c r="S364">
        <v>1</v>
      </c>
    </row>
    <row r="365" spans="1:19" x14ac:dyDescent="0.25">
      <c r="A365" s="1">
        <v>0.62812945601851855</v>
      </c>
      <c r="B365" t="s">
        <v>1</v>
      </c>
      <c r="C365">
        <v>364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1</v>
      </c>
      <c r="M365">
        <v>1</v>
      </c>
      <c r="N365">
        <v>1</v>
      </c>
      <c r="O365">
        <v>1</v>
      </c>
      <c r="P365">
        <v>1</v>
      </c>
      <c r="Q365">
        <v>1</v>
      </c>
      <c r="R365">
        <v>1</v>
      </c>
      <c r="S365">
        <v>1</v>
      </c>
    </row>
    <row r="366" spans="1:19" x14ac:dyDescent="0.25">
      <c r="A366" s="1">
        <v>0.62812957175925921</v>
      </c>
      <c r="B366" t="s">
        <v>1</v>
      </c>
      <c r="C366">
        <v>365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1</v>
      </c>
      <c r="M366">
        <v>1</v>
      </c>
      <c r="N366">
        <v>1</v>
      </c>
      <c r="O366">
        <v>1</v>
      </c>
      <c r="P366">
        <v>1</v>
      </c>
      <c r="Q366">
        <v>1</v>
      </c>
      <c r="R366">
        <v>1</v>
      </c>
      <c r="S366">
        <v>1</v>
      </c>
    </row>
    <row r="367" spans="1:19" x14ac:dyDescent="0.25">
      <c r="A367" s="1">
        <v>0.62812968749999998</v>
      </c>
      <c r="B367" t="s">
        <v>1</v>
      </c>
      <c r="C367">
        <v>366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</v>
      </c>
      <c r="M367">
        <v>1</v>
      </c>
      <c r="N367">
        <v>1</v>
      </c>
      <c r="O367">
        <v>1</v>
      </c>
      <c r="P367">
        <v>1</v>
      </c>
      <c r="Q367">
        <v>1</v>
      </c>
      <c r="R367">
        <v>1</v>
      </c>
      <c r="S367">
        <v>1</v>
      </c>
    </row>
    <row r="368" spans="1:19" x14ac:dyDescent="0.25">
      <c r="A368" s="1">
        <v>0.62812979166666671</v>
      </c>
      <c r="B368" t="s">
        <v>1</v>
      </c>
      <c r="C368">
        <v>367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1</v>
      </c>
      <c r="M368">
        <v>1</v>
      </c>
      <c r="N368">
        <v>1</v>
      </c>
      <c r="O368">
        <v>1</v>
      </c>
      <c r="P368">
        <v>1</v>
      </c>
      <c r="Q368">
        <v>1</v>
      </c>
      <c r="R368">
        <v>1</v>
      </c>
      <c r="S368">
        <v>1</v>
      </c>
    </row>
    <row r="369" spans="1:19" x14ac:dyDescent="0.25">
      <c r="A369" s="1">
        <v>0.62812990740740737</v>
      </c>
      <c r="B369" t="s">
        <v>1</v>
      </c>
      <c r="C369">
        <v>368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1</v>
      </c>
      <c r="M369">
        <v>1</v>
      </c>
      <c r="N369">
        <v>1</v>
      </c>
      <c r="O369">
        <v>1</v>
      </c>
      <c r="P369">
        <v>1</v>
      </c>
      <c r="Q369">
        <v>1</v>
      </c>
      <c r="R369">
        <v>1</v>
      </c>
      <c r="S369">
        <v>1</v>
      </c>
    </row>
    <row r="370" spans="1:19" x14ac:dyDescent="0.25">
      <c r="A370" s="1">
        <v>0.62813002314814814</v>
      </c>
      <c r="B370" t="s">
        <v>1</v>
      </c>
      <c r="C370">
        <v>369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1</v>
      </c>
      <c r="M370">
        <v>1</v>
      </c>
      <c r="N370">
        <v>1</v>
      </c>
      <c r="O370">
        <v>1</v>
      </c>
      <c r="P370">
        <v>1</v>
      </c>
      <c r="Q370">
        <v>1</v>
      </c>
      <c r="R370">
        <v>1</v>
      </c>
      <c r="S370">
        <v>1</v>
      </c>
    </row>
    <row r="371" spans="1:19" x14ac:dyDescent="0.25">
      <c r="A371" s="1">
        <v>0.62813015046296294</v>
      </c>
      <c r="B371" t="s">
        <v>1</v>
      </c>
      <c r="C371">
        <v>370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</v>
      </c>
      <c r="M371">
        <v>1</v>
      </c>
      <c r="N371">
        <v>1</v>
      </c>
      <c r="O371">
        <v>1</v>
      </c>
      <c r="P371">
        <v>1</v>
      </c>
      <c r="Q371">
        <v>1</v>
      </c>
      <c r="R371">
        <v>1</v>
      </c>
      <c r="S371">
        <v>1</v>
      </c>
    </row>
    <row r="372" spans="1:19" x14ac:dyDescent="0.25">
      <c r="A372" s="1">
        <v>0.62813025462962968</v>
      </c>
      <c r="B372" t="s">
        <v>1</v>
      </c>
      <c r="C372">
        <v>371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1</v>
      </c>
      <c r="M372">
        <v>1</v>
      </c>
      <c r="N372">
        <v>1</v>
      </c>
      <c r="O372">
        <v>1</v>
      </c>
      <c r="P372">
        <v>1</v>
      </c>
      <c r="Q372">
        <v>1</v>
      </c>
      <c r="R372">
        <v>1</v>
      </c>
      <c r="S372">
        <v>1</v>
      </c>
    </row>
    <row r="373" spans="1:19" x14ac:dyDescent="0.25">
      <c r="A373" s="1">
        <v>0.62813037037037034</v>
      </c>
      <c r="B373" t="s">
        <v>1</v>
      </c>
      <c r="C373">
        <v>372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1</v>
      </c>
      <c r="M373">
        <v>1</v>
      </c>
      <c r="N373">
        <v>1</v>
      </c>
      <c r="O373">
        <v>1</v>
      </c>
      <c r="P373">
        <v>1</v>
      </c>
      <c r="Q373">
        <v>1</v>
      </c>
      <c r="R373">
        <v>1</v>
      </c>
      <c r="S373">
        <v>1</v>
      </c>
    </row>
    <row r="374" spans="1:19" x14ac:dyDescent="0.25">
      <c r="A374" s="1">
        <v>0.62813048611111111</v>
      </c>
      <c r="B374" t="s">
        <v>1</v>
      </c>
      <c r="C374">
        <v>373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1</v>
      </c>
      <c r="M374">
        <v>1</v>
      </c>
      <c r="N374">
        <v>1</v>
      </c>
      <c r="O374">
        <v>1</v>
      </c>
      <c r="P374">
        <v>1</v>
      </c>
      <c r="Q374">
        <v>1</v>
      </c>
      <c r="R374">
        <v>1</v>
      </c>
      <c r="S374">
        <v>1</v>
      </c>
    </row>
    <row r="375" spans="1:19" x14ac:dyDescent="0.25">
      <c r="A375" s="1">
        <v>0.62813060185185188</v>
      </c>
      <c r="B375" t="s">
        <v>1</v>
      </c>
      <c r="C375">
        <v>374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1</v>
      </c>
      <c r="M375">
        <v>1</v>
      </c>
      <c r="N375">
        <v>1</v>
      </c>
      <c r="O375">
        <v>1</v>
      </c>
      <c r="P375">
        <v>1</v>
      </c>
      <c r="Q375">
        <v>1</v>
      </c>
      <c r="R375">
        <v>1</v>
      </c>
      <c r="S375">
        <v>1</v>
      </c>
    </row>
    <row r="376" spans="1:19" x14ac:dyDescent="0.25">
      <c r="A376" s="1">
        <v>0.62813071759259265</v>
      </c>
      <c r="B376" t="s">
        <v>2</v>
      </c>
      <c r="C376">
        <v>375</v>
      </c>
      <c r="D376">
        <v>0</v>
      </c>
      <c r="E376">
        <v>1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1</v>
      </c>
      <c r="M376">
        <v>1</v>
      </c>
      <c r="N376">
        <v>1</v>
      </c>
      <c r="O376">
        <v>1</v>
      </c>
      <c r="P376">
        <v>1</v>
      </c>
      <c r="Q376">
        <v>1</v>
      </c>
      <c r="R376">
        <v>1</v>
      </c>
      <c r="S376">
        <v>1</v>
      </c>
    </row>
    <row r="377" spans="1:19" x14ac:dyDescent="0.25">
      <c r="A377" s="1">
        <v>0.6281308333333333</v>
      </c>
      <c r="B377" t="s">
        <v>2</v>
      </c>
      <c r="C377">
        <v>376</v>
      </c>
      <c r="D377">
        <v>0</v>
      </c>
      <c r="E377">
        <v>1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</v>
      </c>
      <c r="M377">
        <v>1</v>
      </c>
      <c r="N377">
        <v>1</v>
      </c>
      <c r="O377">
        <v>1</v>
      </c>
      <c r="P377">
        <v>1</v>
      </c>
      <c r="Q377">
        <v>1</v>
      </c>
      <c r="R377">
        <v>1</v>
      </c>
      <c r="S377">
        <v>1</v>
      </c>
    </row>
    <row r="378" spans="1:19" x14ac:dyDescent="0.25">
      <c r="A378" s="1">
        <v>0.62813094907407407</v>
      </c>
      <c r="B378" t="s">
        <v>2</v>
      </c>
      <c r="C378">
        <v>377</v>
      </c>
      <c r="D378">
        <v>0</v>
      </c>
      <c r="E378">
        <v>1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1</v>
      </c>
      <c r="M378">
        <v>1</v>
      </c>
      <c r="N378">
        <v>1</v>
      </c>
      <c r="O378">
        <v>1</v>
      </c>
      <c r="P378">
        <v>1</v>
      </c>
      <c r="Q378">
        <v>1</v>
      </c>
      <c r="R378">
        <v>1</v>
      </c>
      <c r="S378">
        <v>1</v>
      </c>
    </row>
    <row r="379" spans="1:19" x14ac:dyDescent="0.25">
      <c r="A379" s="1">
        <v>0.62813106481481484</v>
      </c>
      <c r="B379" t="s">
        <v>2</v>
      </c>
      <c r="C379">
        <v>378</v>
      </c>
      <c r="D379">
        <v>0</v>
      </c>
      <c r="E379">
        <v>1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1</v>
      </c>
      <c r="M379">
        <v>1</v>
      </c>
      <c r="N379">
        <v>1</v>
      </c>
      <c r="O379">
        <v>1</v>
      </c>
      <c r="P379">
        <v>1</v>
      </c>
      <c r="Q379">
        <v>1</v>
      </c>
      <c r="R379">
        <v>1</v>
      </c>
      <c r="S379">
        <v>1</v>
      </c>
    </row>
    <row r="380" spans="1:19" x14ac:dyDescent="0.25">
      <c r="A380" s="1">
        <v>0.6281311805555555</v>
      </c>
      <c r="B380" t="s">
        <v>2</v>
      </c>
      <c r="C380">
        <v>379</v>
      </c>
      <c r="D380">
        <v>0</v>
      </c>
      <c r="E380">
        <v>1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1</v>
      </c>
      <c r="M380">
        <v>1</v>
      </c>
      <c r="N380">
        <v>1</v>
      </c>
      <c r="O380">
        <v>1</v>
      </c>
      <c r="P380">
        <v>1</v>
      </c>
      <c r="Q380">
        <v>1</v>
      </c>
      <c r="R380">
        <v>1</v>
      </c>
      <c r="S380">
        <v>1</v>
      </c>
    </row>
    <row r="381" spans="1:19" x14ac:dyDescent="0.25">
      <c r="A381" s="1">
        <v>0.62813129629629627</v>
      </c>
      <c r="B381" t="s">
        <v>2</v>
      </c>
      <c r="C381">
        <v>380</v>
      </c>
      <c r="D381">
        <v>0</v>
      </c>
      <c r="E381">
        <v>1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1</v>
      </c>
      <c r="M381">
        <v>1</v>
      </c>
      <c r="N381">
        <v>1</v>
      </c>
      <c r="O381">
        <v>1</v>
      </c>
      <c r="P381">
        <v>1</v>
      </c>
      <c r="Q381">
        <v>1</v>
      </c>
      <c r="R381">
        <v>1</v>
      </c>
      <c r="S381">
        <v>1</v>
      </c>
    </row>
    <row r="382" spans="1:19" x14ac:dyDescent="0.25">
      <c r="A382" s="1">
        <v>0.62813141203703704</v>
      </c>
      <c r="B382" t="s">
        <v>2</v>
      </c>
      <c r="C382">
        <v>381</v>
      </c>
      <c r="D382">
        <v>0</v>
      </c>
      <c r="E382">
        <v>1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1</v>
      </c>
      <c r="M382">
        <v>1</v>
      </c>
      <c r="N382">
        <v>1</v>
      </c>
      <c r="O382">
        <v>1</v>
      </c>
      <c r="P382">
        <v>1</v>
      </c>
      <c r="Q382">
        <v>1</v>
      </c>
      <c r="R382">
        <v>1</v>
      </c>
      <c r="S382">
        <v>1</v>
      </c>
    </row>
    <row r="383" spans="1:19" x14ac:dyDescent="0.25">
      <c r="A383" s="1">
        <v>0.62813152777777781</v>
      </c>
      <c r="B383" t="s">
        <v>1</v>
      </c>
      <c r="C383">
        <v>382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1</v>
      </c>
      <c r="M383">
        <v>1</v>
      </c>
      <c r="N383">
        <v>1</v>
      </c>
      <c r="O383">
        <v>1</v>
      </c>
      <c r="P383">
        <v>1</v>
      </c>
      <c r="Q383">
        <v>1</v>
      </c>
      <c r="R383">
        <v>1</v>
      </c>
      <c r="S383">
        <v>1</v>
      </c>
    </row>
    <row r="384" spans="1:19" x14ac:dyDescent="0.25">
      <c r="A384" s="1">
        <v>0.62813164351851847</v>
      </c>
      <c r="B384" t="s">
        <v>1</v>
      </c>
      <c r="C384">
        <v>383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1</v>
      </c>
      <c r="M384">
        <v>1</v>
      </c>
      <c r="N384">
        <v>1</v>
      </c>
      <c r="O384">
        <v>1</v>
      </c>
      <c r="P384">
        <v>1</v>
      </c>
      <c r="Q384">
        <v>1</v>
      </c>
      <c r="R384">
        <v>1</v>
      </c>
      <c r="S384">
        <v>1</v>
      </c>
    </row>
    <row r="385" spans="1:19" x14ac:dyDescent="0.25">
      <c r="A385" s="1">
        <v>0.62813175925925924</v>
      </c>
      <c r="B385" t="s">
        <v>1</v>
      </c>
      <c r="C385">
        <v>384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1</v>
      </c>
      <c r="M385">
        <v>1</v>
      </c>
      <c r="N385">
        <v>1</v>
      </c>
      <c r="O385">
        <v>1</v>
      </c>
      <c r="P385">
        <v>1</v>
      </c>
      <c r="Q385">
        <v>1</v>
      </c>
      <c r="R385">
        <v>1</v>
      </c>
      <c r="S385">
        <v>1</v>
      </c>
    </row>
    <row r="386" spans="1:19" x14ac:dyDescent="0.25">
      <c r="A386" s="1">
        <v>0.62813187500000001</v>
      </c>
      <c r="B386" t="s">
        <v>1</v>
      </c>
      <c r="C386">
        <v>385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1</v>
      </c>
      <c r="M386">
        <v>1</v>
      </c>
      <c r="N386">
        <v>1</v>
      </c>
      <c r="O386">
        <v>1</v>
      </c>
      <c r="P386">
        <v>1</v>
      </c>
      <c r="Q386">
        <v>1</v>
      </c>
      <c r="R386">
        <v>1</v>
      </c>
      <c r="S386">
        <v>1</v>
      </c>
    </row>
    <row r="387" spans="1:19" x14ac:dyDescent="0.25">
      <c r="A387" s="1">
        <v>0.62813199074074078</v>
      </c>
      <c r="B387" t="s">
        <v>1</v>
      </c>
      <c r="C387">
        <v>386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1</v>
      </c>
      <c r="M387">
        <v>1</v>
      </c>
      <c r="N387">
        <v>1</v>
      </c>
      <c r="O387">
        <v>1</v>
      </c>
      <c r="P387">
        <v>1</v>
      </c>
      <c r="Q387">
        <v>1</v>
      </c>
      <c r="R387">
        <v>1</v>
      </c>
      <c r="S387">
        <v>1</v>
      </c>
    </row>
    <row r="388" spans="1:19" x14ac:dyDescent="0.25">
      <c r="A388" s="1">
        <v>0.62813210648148143</v>
      </c>
      <c r="B388" t="s">
        <v>1</v>
      </c>
      <c r="C388">
        <v>387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1</v>
      </c>
      <c r="M388">
        <v>1</v>
      </c>
      <c r="N388">
        <v>1</v>
      </c>
      <c r="O388">
        <v>1</v>
      </c>
      <c r="P388">
        <v>1</v>
      </c>
      <c r="Q388">
        <v>1</v>
      </c>
      <c r="R388">
        <v>1</v>
      </c>
      <c r="S388">
        <v>1</v>
      </c>
    </row>
    <row r="389" spans="1:19" x14ac:dyDescent="0.25">
      <c r="A389" s="1">
        <v>0.6281322222222222</v>
      </c>
      <c r="B389" t="s">
        <v>1</v>
      </c>
      <c r="C389">
        <v>388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</v>
      </c>
      <c r="M389">
        <v>1</v>
      </c>
      <c r="N389">
        <v>1</v>
      </c>
      <c r="O389">
        <v>1</v>
      </c>
      <c r="P389">
        <v>1</v>
      </c>
      <c r="Q389">
        <v>1</v>
      </c>
      <c r="R389">
        <v>1</v>
      </c>
      <c r="S389">
        <v>1</v>
      </c>
    </row>
    <row r="390" spans="1:19" x14ac:dyDescent="0.25">
      <c r="A390" s="1">
        <v>0.62813233796296297</v>
      </c>
      <c r="B390" t="s">
        <v>1</v>
      </c>
      <c r="C390">
        <v>389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</v>
      </c>
      <c r="M390">
        <v>1</v>
      </c>
      <c r="N390">
        <v>1</v>
      </c>
      <c r="O390">
        <v>1</v>
      </c>
      <c r="P390">
        <v>1</v>
      </c>
      <c r="Q390">
        <v>1</v>
      </c>
      <c r="R390">
        <v>1</v>
      </c>
      <c r="S390">
        <v>1</v>
      </c>
    </row>
    <row r="391" spans="1:19" x14ac:dyDescent="0.25">
      <c r="A391" s="1">
        <v>0.62813245370370374</v>
      </c>
      <c r="B391" t="s">
        <v>1</v>
      </c>
      <c r="C391">
        <v>390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1</v>
      </c>
      <c r="M391">
        <v>1</v>
      </c>
      <c r="N391">
        <v>1</v>
      </c>
      <c r="O391">
        <v>1</v>
      </c>
      <c r="P391">
        <v>1</v>
      </c>
      <c r="Q391">
        <v>1</v>
      </c>
      <c r="R391">
        <v>1</v>
      </c>
      <c r="S391">
        <v>1</v>
      </c>
    </row>
    <row r="392" spans="1:19" x14ac:dyDescent="0.25">
      <c r="A392" s="1">
        <v>0.6281325694444444</v>
      </c>
      <c r="B392" t="s">
        <v>1</v>
      </c>
      <c r="C392">
        <v>391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1</v>
      </c>
      <c r="M392">
        <v>1</v>
      </c>
      <c r="N392">
        <v>1</v>
      </c>
      <c r="O392">
        <v>1</v>
      </c>
      <c r="P392">
        <v>1</v>
      </c>
      <c r="Q392">
        <v>1</v>
      </c>
      <c r="R392">
        <v>1</v>
      </c>
      <c r="S392">
        <v>1</v>
      </c>
    </row>
    <row r="393" spans="1:19" x14ac:dyDescent="0.25">
      <c r="A393" s="1">
        <v>0.62813268518518517</v>
      </c>
      <c r="B393" t="s">
        <v>1</v>
      </c>
      <c r="C393">
        <v>392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1</v>
      </c>
      <c r="M393">
        <v>1</v>
      </c>
      <c r="N393">
        <v>1</v>
      </c>
      <c r="O393">
        <v>1</v>
      </c>
      <c r="P393">
        <v>1</v>
      </c>
      <c r="Q393">
        <v>1</v>
      </c>
      <c r="R393">
        <v>1</v>
      </c>
      <c r="S393">
        <v>1</v>
      </c>
    </row>
    <row r="394" spans="1:19" x14ac:dyDescent="0.25">
      <c r="A394" s="1">
        <v>0.62813281249999997</v>
      </c>
      <c r="B394" t="s">
        <v>1</v>
      </c>
      <c r="C394">
        <v>393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1</v>
      </c>
      <c r="M394">
        <v>1</v>
      </c>
      <c r="N394">
        <v>1</v>
      </c>
      <c r="O394">
        <v>1</v>
      </c>
      <c r="P394">
        <v>1</v>
      </c>
      <c r="Q394">
        <v>1</v>
      </c>
      <c r="R394">
        <v>1</v>
      </c>
      <c r="S394">
        <v>1</v>
      </c>
    </row>
    <row r="395" spans="1:19" x14ac:dyDescent="0.25">
      <c r="A395" s="1">
        <v>0.62813291666666671</v>
      </c>
      <c r="B395" t="s">
        <v>1</v>
      </c>
      <c r="C395">
        <v>394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1</v>
      </c>
      <c r="M395">
        <v>1</v>
      </c>
      <c r="N395">
        <v>1</v>
      </c>
      <c r="O395">
        <v>1</v>
      </c>
      <c r="P395">
        <v>1</v>
      </c>
      <c r="Q395">
        <v>1</v>
      </c>
      <c r="R395">
        <v>1</v>
      </c>
      <c r="S395">
        <v>1</v>
      </c>
    </row>
    <row r="396" spans="1:19" x14ac:dyDescent="0.25">
      <c r="A396" s="1">
        <v>0.62813303240740737</v>
      </c>
      <c r="B396" t="s">
        <v>1</v>
      </c>
      <c r="C396">
        <v>395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1</v>
      </c>
      <c r="M396">
        <v>1</v>
      </c>
      <c r="N396">
        <v>1</v>
      </c>
      <c r="O396">
        <v>1</v>
      </c>
      <c r="P396">
        <v>1</v>
      </c>
      <c r="Q396">
        <v>1</v>
      </c>
      <c r="R396">
        <v>1</v>
      </c>
      <c r="S396">
        <v>1</v>
      </c>
    </row>
    <row r="397" spans="1:19" x14ac:dyDescent="0.25">
      <c r="A397" s="1">
        <v>0.62813314814814813</v>
      </c>
      <c r="B397" t="s">
        <v>1</v>
      </c>
      <c r="C397">
        <v>396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1</v>
      </c>
      <c r="M397">
        <v>1</v>
      </c>
      <c r="N397">
        <v>1</v>
      </c>
      <c r="O397">
        <v>1</v>
      </c>
      <c r="P397">
        <v>1</v>
      </c>
      <c r="Q397">
        <v>1</v>
      </c>
      <c r="R397">
        <v>1</v>
      </c>
      <c r="S397">
        <v>1</v>
      </c>
    </row>
    <row r="398" spans="1:19" x14ac:dyDescent="0.25">
      <c r="A398" s="1">
        <v>0.6281332638888889</v>
      </c>
      <c r="B398" t="s">
        <v>1</v>
      </c>
      <c r="C398">
        <v>397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1</v>
      </c>
      <c r="M398">
        <v>1</v>
      </c>
      <c r="N398">
        <v>1</v>
      </c>
      <c r="O398">
        <v>1</v>
      </c>
      <c r="P398">
        <v>1</v>
      </c>
      <c r="Q398">
        <v>1</v>
      </c>
      <c r="R398">
        <v>1</v>
      </c>
      <c r="S398">
        <v>1</v>
      </c>
    </row>
    <row r="399" spans="1:19" x14ac:dyDescent="0.25">
      <c r="A399" s="1">
        <v>0.62813337962962967</v>
      </c>
      <c r="B399" t="s">
        <v>1</v>
      </c>
      <c r="C399">
        <v>398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1</v>
      </c>
      <c r="M399">
        <v>1</v>
      </c>
      <c r="N399">
        <v>1</v>
      </c>
      <c r="O399">
        <v>1</v>
      </c>
      <c r="P399">
        <v>1</v>
      </c>
      <c r="Q399">
        <v>1</v>
      </c>
      <c r="R399">
        <v>1</v>
      </c>
      <c r="S399">
        <v>1</v>
      </c>
    </row>
    <row r="400" spans="1:19" x14ac:dyDescent="0.25">
      <c r="A400" s="1">
        <v>0.62813349537037033</v>
      </c>
      <c r="B400" t="s">
        <v>1</v>
      </c>
      <c r="C400">
        <v>399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1</v>
      </c>
      <c r="M400">
        <v>1</v>
      </c>
      <c r="N400">
        <v>1</v>
      </c>
      <c r="O400">
        <v>1</v>
      </c>
      <c r="P400">
        <v>1</v>
      </c>
      <c r="Q400">
        <v>1</v>
      </c>
      <c r="R400">
        <v>1</v>
      </c>
      <c r="S400">
        <v>1</v>
      </c>
    </row>
    <row r="401" spans="1:19" x14ac:dyDescent="0.25">
      <c r="A401" s="1">
        <v>0.6281336111111111</v>
      </c>
      <c r="B401" t="s">
        <v>1</v>
      </c>
      <c r="C401">
        <v>400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1</v>
      </c>
      <c r="M401">
        <v>1</v>
      </c>
      <c r="N401">
        <v>1</v>
      </c>
      <c r="O401">
        <v>1</v>
      </c>
      <c r="P401">
        <v>1</v>
      </c>
      <c r="Q401">
        <v>1</v>
      </c>
      <c r="R401">
        <v>1</v>
      </c>
      <c r="S401">
        <v>1</v>
      </c>
    </row>
    <row r="402" spans="1:19" x14ac:dyDescent="0.25">
      <c r="A402" s="1">
        <v>0.62813372685185187</v>
      </c>
      <c r="B402" t="s">
        <v>1</v>
      </c>
      <c r="C402">
        <v>401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1</v>
      </c>
      <c r="M402">
        <v>1</v>
      </c>
      <c r="N402">
        <v>1</v>
      </c>
      <c r="O402">
        <v>1</v>
      </c>
      <c r="P402">
        <v>1</v>
      </c>
      <c r="Q402">
        <v>1</v>
      </c>
      <c r="R402">
        <v>1</v>
      </c>
      <c r="S402">
        <v>1</v>
      </c>
    </row>
    <row r="403" spans="1:19" x14ac:dyDescent="0.25">
      <c r="A403" s="1">
        <v>0.62813384259259264</v>
      </c>
      <c r="B403" t="s">
        <v>1</v>
      </c>
      <c r="C403">
        <v>402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1</v>
      </c>
      <c r="M403">
        <v>1</v>
      </c>
      <c r="N403">
        <v>1</v>
      </c>
      <c r="O403">
        <v>1</v>
      </c>
      <c r="P403">
        <v>1</v>
      </c>
      <c r="Q403">
        <v>1</v>
      </c>
      <c r="R403">
        <v>1</v>
      </c>
      <c r="S403">
        <v>1</v>
      </c>
    </row>
    <row r="404" spans="1:19" x14ac:dyDescent="0.25">
      <c r="A404" s="1">
        <v>0.6281339583333333</v>
      </c>
      <c r="B404" t="s">
        <v>1</v>
      </c>
      <c r="C404">
        <v>403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1</v>
      </c>
      <c r="M404">
        <v>1</v>
      </c>
      <c r="N404">
        <v>1</v>
      </c>
      <c r="O404">
        <v>1</v>
      </c>
      <c r="P404">
        <v>1</v>
      </c>
      <c r="Q404">
        <v>1</v>
      </c>
      <c r="R404">
        <v>1</v>
      </c>
      <c r="S404">
        <v>1</v>
      </c>
    </row>
    <row r="405" spans="1:19" x14ac:dyDescent="0.25">
      <c r="A405" s="1">
        <v>0.62813407407407407</v>
      </c>
      <c r="B405" t="s">
        <v>1</v>
      </c>
      <c r="C405">
        <v>404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1</v>
      </c>
      <c r="M405">
        <v>1</v>
      </c>
      <c r="N405">
        <v>1</v>
      </c>
      <c r="O405">
        <v>1</v>
      </c>
      <c r="P405">
        <v>1</v>
      </c>
      <c r="Q405">
        <v>1</v>
      </c>
      <c r="R405">
        <v>1</v>
      </c>
      <c r="S405">
        <v>1</v>
      </c>
    </row>
    <row r="406" spans="1:19" x14ac:dyDescent="0.25">
      <c r="A406" s="1">
        <v>0.62813418981481484</v>
      </c>
      <c r="B406" t="s">
        <v>1</v>
      </c>
      <c r="C406">
        <v>405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1</v>
      </c>
      <c r="M406">
        <v>1</v>
      </c>
      <c r="N406">
        <v>1</v>
      </c>
      <c r="O406">
        <v>1</v>
      </c>
      <c r="P406">
        <v>1</v>
      </c>
      <c r="Q406">
        <v>1</v>
      </c>
      <c r="R406">
        <v>1</v>
      </c>
      <c r="S406">
        <v>1</v>
      </c>
    </row>
    <row r="407" spans="1:19" x14ac:dyDescent="0.25">
      <c r="A407" s="1">
        <v>0.62813430555555561</v>
      </c>
      <c r="B407" t="s">
        <v>1</v>
      </c>
      <c r="C407">
        <v>406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1</v>
      </c>
      <c r="M407">
        <v>1</v>
      </c>
      <c r="N407">
        <v>1</v>
      </c>
      <c r="O407">
        <v>1</v>
      </c>
      <c r="P407">
        <v>1</v>
      </c>
      <c r="Q407">
        <v>1</v>
      </c>
      <c r="R407">
        <v>1</v>
      </c>
      <c r="S407">
        <v>1</v>
      </c>
    </row>
    <row r="408" spans="1:19" x14ac:dyDescent="0.25">
      <c r="A408" s="1">
        <v>0.62813442129629626</v>
      </c>
      <c r="B408" t="s">
        <v>1</v>
      </c>
      <c r="C408">
        <v>407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1</v>
      </c>
      <c r="M408">
        <v>1</v>
      </c>
      <c r="N408">
        <v>1</v>
      </c>
      <c r="O408">
        <v>1</v>
      </c>
      <c r="P408">
        <v>1</v>
      </c>
      <c r="Q408">
        <v>1</v>
      </c>
      <c r="R408">
        <v>1</v>
      </c>
      <c r="S408">
        <v>1</v>
      </c>
    </row>
    <row r="409" spans="1:19" x14ac:dyDescent="0.25">
      <c r="A409" s="1">
        <v>0.62813453703703703</v>
      </c>
      <c r="B409" t="s">
        <v>1</v>
      </c>
      <c r="C409">
        <v>408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1</v>
      </c>
      <c r="M409">
        <v>1</v>
      </c>
      <c r="N409">
        <v>1</v>
      </c>
      <c r="O409">
        <v>1</v>
      </c>
      <c r="P409">
        <v>1</v>
      </c>
      <c r="Q409">
        <v>1</v>
      </c>
      <c r="R409">
        <v>1</v>
      </c>
      <c r="S409">
        <v>1</v>
      </c>
    </row>
    <row r="410" spans="1:19" x14ac:dyDescent="0.25">
      <c r="A410" s="1">
        <v>0.6281346527777778</v>
      </c>
      <c r="B410" t="s">
        <v>1</v>
      </c>
      <c r="C410">
        <v>409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1</v>
      </c>
      <c r="M410">
        <v>1</v>
      </c>
      <c r="N410">
        <v>1</v>
      </c>
      <c r="O410">
        <v>1</v>
      </c>
      <c r="P410">
        <v>1</v>
      </c>
      <c r="Q410">
        <v>1</v>
      </c>
      <c r="R410">
        <v>1</v>
      </c>
      <c r="S410">
        <v>1</v>
      </c>
    </row>
    <row r="411" spans="1:19" x14ac:dyDescent="0.25">
      <c r="A411" s="1">
        <v>0.62813476851851857</v>
      </c>
      <c r="B411" t="s">
        <v>1</v>
      </c>
      <c r="C411">
        <v>410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1</v>
      </c>
      <c r="M411">
        <v>1</v>
      </c>
      <c r="N411">
        <v>1</v>
      </c>
      <c r="O411">
        <v>1</v>
      </c>
      <c r="P411">
        <v>1</v>
      </c>
      <c r="Q411">
        <v>1</v>
      </c>
      <c r="R411">
        <v>1</v>
      </c>
      <c r="S411">
        <v>1</v>
      </c>
    </row>
    <row r="412" spans="1:19" x14ac:dyDescent="0.25">
      <c r="A412" s="1">
        <v>0.62813488425925923</v>
      </c>
      <c r="B412" t="s">
        <v>1</v>
      </c>
      <c r="C412">
        <v>411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1</v>
      </c>
      <c r="M412">
        <v>1</v>
      </c>
      <c r="N412">
        <v>1</v>
      </c>
      <c r="O412">
        <v>1</v>
      </c>
      <c r="P412">
        <v>1</v>
      </c>
      <c r="Q412">
        <v>1</v>
      </c>
      <c r="R412">
        <v>1</v>
      </c>
      <c r="S412">
        <v>1</v>
      </c>
    </row>
    <row r="413" spans="1:19" x14ac:dyDescent="0.25">
      <c r="A413" s="1">
        <v>0.628135</v>
      </c>
      <c r="B413" t="s">
        <v>1</v>
      </c>
      <c r="C413">
        <v>412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1</v>
      </c>
      <c r="M413">
        <v>1</v>
      </c>
      <c r="N413">
        <v>1</v>
      </c>
      <c r="O413">
        <v>1</v>
      </c>
      <c r="P413">
        <v>1</v>
      </c>
      <c r="Q413">
        <v>1</v>
      </c>
      <c r="R413">
        <v>1</v>
      </c>
      <c r="S413">
        <v>1</v>
      </c>
    </row>
    <row r="414" spans="1:19" x14ac:dyDescent="0.25">
      <c r="A414" s="1">
        <v>0.62813511574074077</v>
      </c>
      <c r="B414" t="s">
        <v>1</v>
      </c>
      <c r="C414">
        <v>413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1</v>
      </c>
      <c r="M414">
        <v>1</v>
      </c>
      <c r="N414">
        <v>1</v>
      </c>
      <c r="O414">
        <v>1</v>
      </c>
      <c r="P414">
        <v>1</v>
      </c>
      <c r="Q414">
        <v>1</v>
      </c>
      <c r="R414">
        <v>1</v>
      </c>
      <c r="S414">
        <v>1</v>
      </c>
    </row>
    <row r="415" spans="1:19" x14ac:dyDescent="0.25">
      <c r="A415" s="1">
        <v>0.6281353472222222</v>
      </c>
      <c r="B415" t="s">
        <v>1</v>
      </c>
      <c r="C415">
        <v>414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1</v>
      </c>
      <c r="M415">
        <v>1</v>
      </c>
      <c r="N415">
        <v>1</v>
      </c>
      <c r="O415">
        <v>1</v>
      </c>
      <c r="P415">
        <v>1</v>
      </c>
      <c r="Q415">
        <v>1</v>
      </c>
      <c r="R415">
        <v>1</v>
      </c>
      <c r="S415">
        <v>1</v>
      </c>
    </row>
    <row r="416" spans="1:19" x14ac:dyDescent="0.25">
      <c r="A416" s="1">
        <v>0.62813546296296296</v>
      </c>
      <c r="B416" t="s">
        <v>1</v>
      </c>
      <c r="C416">
        <v>415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1</v>
      </c>
      <c r="M416">
        <v>1</v>
      </c>
      <c r="N416">
        <v>1</v>
      </c>
      <c r="O416">
        <v>1</v>
      </c>
      <c r="P416">
        <v>1</v>
      </c>
      <c r="Q416">
        <v>1</v>
      </c>
      <c r="R416">
        <v>1</v>
      </c>
      <c r="S416">
        <v>1</v>
      </c>
    </row>
    <row r="417" spans="1:19" x14ac:dyDescent="0.25">
      <c r="A417" s="1">
        <v>0.62813557870370373</v>
      </c>
      <c r="B417" t="s">
        <v>1</v>
      </c>
      <c r="C417">
        <v>416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1</v>
      </c>
      <c r="M417">
        <v>1</v>
      </c>
      <c r="N417">
        <v>1</v>
      </c>
      <c r="O417">
        <v>1</v>
      </c>
      <c r="P417">
        <v>1</v>
      </c>
      <c r="Q417">
        <v>1</v>
      </c>
      <c r="R417">
        <v>1</v>
      </c>
      <c r="S417">
        <v>1</v>
      </c>
    </row>
    <row r="418" spans="1:19" x14ac:dyDescent="0.25">
      <c r="A418" s="1">
        <v>0.62813568287037036</v>
      </c>
      <c r="B418" t="s">
        <v>1</v>
      </c>
      <c r="C418">
        <v>417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1</v>
      </c>
      <c r="M418">
        <v>1</v>
      </c>
      <c r="N418">
        <v>1</v>
      </c>
      <c r="O418">
        <v>1</v>
      </c>
      <c r="P418">
        <v>1</v>
      </c>
      <c r="Q418">
        <v>1</v>
      </c>
      <c r="R418">
        <v>1</v>
      </c>
      <c r="S418">
        <v>1</v>
      </c>
    </row>
    <row r="419" spans="1:19" x14ac:dyDescent="0.25">
      <c r="A419" s="1">
        <v>0.62813581018518516</v>
      </c>
      <c r="B419" t="s">
        <v>1</v>
      </c>
      <c r="C419">
        <v>418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1</v>
      </c>
      <c r="M419">
        <v>1</v>
      </c>
      <c r="N419">
        <v>1</v>
      </c>
      <c r="O419">
        <v>1</v>
      </c>
      <c r="P419">
        <v>1</v>
      </c>
      <c r="Q419">
        <v>1</v>
      </c>
      <c r="R419">
        <v>1</v>
      </c>
      <c r="S419">
        <v>1</v>
      </c>
    </row>
    <row r="420" spans="1:19" x14ac:dyDescent="0.25">
      <c r="A420" s="1">
        <v>0.62813592592592593</v>
      </c>
      <c r="B420" t="s">
        <v>1</v>
      </c>
      <c r="C420">
        <v>419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1</v>
      </c>
      <c r="M420">
        <v>1</v>
      </c>
      <c r="N420">
        <v>1</v>
      </c>
      <c r="O420">
        <v>1</v>
      </c>
      <c r="P420">
        <v>1</v>
      </c>
      <c r="Q420">
        <v>1</v>
      </c>
      <c r="R420">
        <v>1</v>
      </c>
      <c r="S420">
        <v>1</v>
      </c>
    </row>
    <row r="421" spans="1:19" x14ac:dyDescent="0.25">
      <c r="A421" s="1">
        <v>0.6281360416666667</v>
      </c>
      <c r="B421" t="s">
        <v>1</v>
      </c>
      <c r="C421">
        <v>420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1</v>
      </c>
      <c r="M421">
        <v>1</v>
      </c>
      <c r="N421">
        <v>1</v>
      </c>
      <c r="O421">
        <v>1</v>
      </c>
      <c r="P421">
        <v>1</v>
      </c>
      <c r="Q421">
        <v>1</v>
      </c>
      <c r="R421">
        <v>1</v>
      </c>
      <c r="S421">
        <v>1</v>
      </c>
    </row>
    <row r="422" spans="1:19" x14ac:dyDescent="0.25">
      <c r="A422" s="1">
        <v>0.62813614583333333</v>
      </c>
      <c r="B422" t="s">
        <v>1</v>
      </c>
      <c r="C422">
        <v>421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1</v>
      </c>
      <c r="M422">
        <v>1</v>
      </c>
      <c r="N422">
        <v>1</v>
      </c>
      <c r="O422">
        <v>1</v>
      </c>
      <c r="P422">
        <v>1</v>
      </c>
      <c r="Q422">
        <v>1</v>
      </c>
      <c r="R422">
        <v>1</v>
      </c>
      <c r="S422">
        <v>1</v>
      </c>
    </row>
    <row r="423" spans="1:19" x14ac:dyDescent="0.25">
      <c r="A423" s="1">
        <v>0.62813627314814813</v>
      </c>
      <c r="B423" t="s">
        <v>1</v>
      </c>
      <c r="C423">
        <v>422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1</v>
      </c>
      <c r="M423">
        <v>1</v>
      </c>
      <c r="N423">
        <v>1</v>
      </c>
      <c r="O423">
        <v>1</v>
      </c>
      <c r="P423">
        <v>1</v>
      </c>
      <c r="Q423">
        <v>1</v>
      </c>
      <c r="R423">
        <v>1</v>
      </c>
      <c r="S423">
        <v>1</v>
      </c>
    </row>
    <row r="424" spans="1:19" x14ac:dyDescent="0.25">
      <c r="A424" s="1">
        <v>0.62813637731481486</v>
      </c>
      <c r="B424" t="s">
        <v>1</v>
      </c>
      <c r="C424">
        <v>423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1</v>
      </c>
      <c r="M424">
        <v>1</v>
      </c>
      <c r="N424">
        <v>1</v>
      </c>
      <c r="O424">
        <v>1</v>
      </c>
      <c r="P424">
        <v>1</v>
      </c>
      <c r="Q424">
        <v>1</v>
      </c>
      <c r="R424">
        <v>1</v>
      </c>
      <c r="S424">
        <v>1</v>
      </c>
    </row>
    <row r="425" spans="1:19" x14ac:dyDescent="0.25">
      <c r="A425" s="1">
        <v>0.62813649305555552</v>
      </c>
      <c r="B425" t="s">
        <v>1</v>
      </c>
      <c r="C425">
        <v>424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1</v>
      </c>
      <c r="M425">
        <v>1</v>
      </c>
      <c r="N425">
        <v>1</v>
      </c>
      <c r="O425">
        <v>1</v>
      </c>
      <c r="P425">
        <v>1</v>
      </c>
      <c r="Q425">
        <v>1</v>
      </c>
      <c r="R425">
        <v>1</v>
      </c>
      <c r="S425">
        <v>1</v>
      </c>
    </row>
    <row r="426" spans="1:19" x14ac:dyDescent="0.25">
      <c r="A426" s="1">
        <v>0.62813660879629629</v>
      </c>
      <c r="B426" t="s">
        <v>1</v>
      </c>
      <c r="C426">
        <v>425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1</v>
      </c>
      <c r="M426">
        <v>1</v>
      </c>
      <c r="N426">
        <v>1</v>
      </c>
      <c r="O426">
        <v>1</v>
      </c>
      <c r="P426">
        <v>1</v>
      </c>
      <c r="Q426">
        <v>1</v>
      </c>
      <c r="R426">
        <v>1</v>
      </c>
      <c r="S426">
        <v>1</v>
      </c>
    </row>
    <row r="427" spans="1:19" x14ac:dyDescent="0.25">
      <c r="A427" s="1">
        <v>0.62813672453703706</v>
      </c>
      <c r="B427" t="s">
        <v>1</v>
      </c>
      <c r="C427">
        <v>426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1</v>
      </c>
      <c r="M427">
        <v>1</v>
      </c>
      <c r="N427">
        <v>1</v>
      </c>
      <c r="O427">
        <v>1</v>
      </c>
      <c r="P427">
        <v>1</v>
      </c>
      <c r="Q427">
        <v>1</v>
      </c>
      <c r="R427">
        <v>1</v>
      </c>
      <c r="S427">
        <v>1</v>
      </c>
    </row>
    <row r="428" spans="1:19" x14ac:dyDescent="0.25">
      <c r="A428" s="1">
        <v>0.62813684027777783</v>
      </c>
      <c r="B428" t="s">
        <v>1</v>
      </c>
      <c r="C428">
        <v>427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1</v>
      </c>
      <c r="M428">
        <v>1</v>
      </c>
      <c r="N428">
        <v>1</v>
      </c>
      <c r="O428">
        <v>1</v>
      </c>
      <c r="P428">
        <v>1</v>
      </c>
      <c r="Q428">
        <v>1</v>
      </c>
      <c r="R428">
        <v>1</v>
      </c>
      <c r="S428">
        <v>1</v>
      </c>
    </row>
    <row r="429" spans="1:19" x14ac:dyDescent="0.25">
      <c r="A429" s="1">
        <v>0.62813695601851849</v>
      </c>
      <c r="B429" t="s">
        <v>1</v>
      </c>
      <c r="C429">
        <v>428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1</v>
      </c>
      <c r="M429">
        <v>1</v>
      </c>
      <c r="N429">
        <v>1</v>
      </c>
      <c r="O429">
        <v>1</v>
      </c>
      <c r="P429">
        <v>1</v>
      </c>
      <c r="Q429">
        <v>1</v>
      </c>
      <c r="R429">
        <v>1</v>
      </c>
      <c r="S429">
        <v>1</v>
      </c>
    </row>
    <row r="430" spans="1:19" x14ac:dyDescent="0.25">
      <c r="A430" s="1">
        <v>0.62813707175925926</v>
      </c>
      <c r="B430" t="s">
        <v>1</v>
      </c>
      <c r="C430">
        <v>429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1</v>
      </c>
      <c r="M430">
        <v>1</v>
      </c>
      <c r="N430">
        <v>1</v>
      </c>
      <c r="O430">
        <v>1</v>
      </c>
      <c r="P430">
        <v>1</v>
      </c>
      <c r="Q430">
        <v>1</v>
      </c>
      <c r="R430">
        <v>1</v>
      </c>
      <c r="S430">
        <v>1</v>
      </c>
    </row>
    <row r="431" spans="1:19" x14ac:dyDescent="0.25">
      <c r="A431" s="1">
        <v>0.62813718750000003</v>
      </c>
      <c r="B431" t="s">
        <v>1</v>
      </c>
      <c r="C431">
        <v>430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1</v>
      </c>
      <c r="M431">
        <v>1</v>
      </c>
      <c r="N431">
        <v>1</v>
      </c>
      <c r="O431">
        <v>1</v>
      </c>
      <c r="P431">
        <v>1</v>
      </c>
      <c r="Q431">
        <v>1</v>
      </c>
      <c r="R431">
        <v>1</v>
      </c>
      <c r="S431">
        <v>1</v>
      </c>
    </row>
    <row r="432" spans="1:19" x14ac:dyDescent="0.25">
      <c r="A432" s="1">
        <v>0.62813730324074069</v>
      </c>
      <c r="B432" t="s">
        <v>1</v>
      </c>
      <c r="C432">
        <v>431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1</v>
      </c>
      <c r="M432">
        <v>1</v>
      </c>
      <c r="N432">
        <v>1</v>
      </c>
      <c r="O432">
        <v>1</v>
      </c>
      <c r="P432">
        <v>1</v>
      </c>
      <c r="Q432">
        <v>1</v>
      </c>
      <c r="R432">
        <v>1</v>
      </c>
      <c r="S432">
        <v>1</v>
      </c>
    </row>
    <row r="433" spans="1:19" x14ac:dyDescent="0.25">
      <c r="A433" s="1">
        <v>0.62813741898148145</v>
      </c>
      <c r="B433" t="s">
        <v>1</v>
      </c>
      <c r="C433">
        <v>432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1</v>
      </c>
      <c r="M433">
        <v>1</v>
      </c>
      <c r="N433">
        <v>1</v>
      </c>
      <c r="O433">
        <v>1</v>
      </c>
      <c r="P433">
        <v>1</v>
      </c>
      <c r="Q433">
        <v>1</v>
      </c>
      <c r="R433">
        <v>1</v>
      </c>
      <c r="S433">
        <v>1</v>
      </c>
    </row>
    <row r="434" spans="1:19" x14ac:dyDescent="0.25">
      <c r="A434" s="1">
        <v>0.62813753472222222</v>
      </c>
      <c r="B434" t="s">
        <v>1</v>
      </c>
      <c r="C434">
        <v>433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1</v>
      </c>
      <c r="M434">
        <v>1</v>
      </c>
      <c r="N434">
        <v>1</v>
      </c>
      <c r="O434">
        <v>1</v>
      </c>
      <c r="P434">
        <v>1</v>
      </c>
      <c r="Q434">
        <v>1</v>
      </c>
      <c r="R434">
        <v>1</v>
      </c>
      <c r="S434">
        <v>1</v>
      </c>
    </row>
    <row r="435" spans="1:19" x14ac:dyDescent="0.25">
      <c r="A435" s="1">
        <v>0.62813765046296299</v>
      </c>
      <c r="B435" t="s">
        <v>2</v>
      </c>
      <c r="C435">
        <v>434</v>
      </c>
      <c r="D435">
        <v>0</v>
      </c>
      <c r="E435">
        <v>1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1</v>
      </c>
      <c r="M435">
        <v>1</v>
      </c>
      <c r="N435">
        <v>1</v>
      </c>
      <c r="O435">
        <v>1</v>
      </c>
      <c r="P435">
        <v>1</v>
      </c>
      <c r="Q435">
        <v>1</v>
      </c>
      <c r="R435">
        <v>1</v>
      </c>
      <c r="S435">
        <v>1</v>
      </c>
    </row>
    <row r="436" spans="1:19" x14ac:dyDescent="0.25">
      <c r="A436" s="1">
        <v>0.62813776620370365</v>
      </c>
      <c r="B436" t="s">
        <v>2</v>
      </c>
      <c r="C436">
        <v>435</v>
      </c>
      <c r="D436">
        <v>0</v>
      </c>
      <c r="E436">
        <v>1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1</v>
      </c>
      <c r="M436">
        <v>1</v>
      </c>
      <c r="N436">
        <v>1</v>
      </c>
      <c r="O436">
        <v>1</v>
      </c>
      <c r="P436">
        <v>1</v>
      </c>
      <c r="Q436">
        <v>1</v>
      </c>
      <c r="R436">
        <v>1</v>
      </c>
      <c r="S436">
        <v>1</v>
      </c>
    </row>
    <row r="437" spans="1:19" x14ac:dyDescent="0.25">
      <c r="A437" s="1">
        <v>0.62813788194444442</v>
      </c>
      <c r="B437" t="s">
        <v>2</v>
      </c>
      <c r="C437">
        <v>436</v>
      </c>
      <c r="D437">
        <v>0</v>
      </c>
      <c r="E437">
        <v>1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1</v>
      </c>
      <c r="M437">
        <v>1</v>
      </c>
      <c r="N437">
        <v>1</v>
      </c>
      <c r="O437">
        <v>1</v>
      </c>
      <c r="P437">
        <v>1</v>
      </c>
      <c r="Q437">
        <v>1</v>
      </c>
      <c r="R437">
        <v>1</v>
      </c>
      <c r="S437">
        <v>1</v>
      </c>
    </row>
    <row r="438" spans="1:19" x14ac:dyDescent="0.25">
      <c r="A438" s="1">
        <v>0.62813799768518519</v>
      </c>
      <c r="B438" t="s">
        <v>2</v>
      </c>
      <c r="C438">
        <v>437</v>
      </c>
      <c r="D438">
        <v>0</v>
      </c>
      <c r="E438">
        <v>1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1</v>
      </c>
      <c r="M438">
        <v>1</v>
      </c>
      <c r="N438">
        <v>1</v>
      </c>
      <c r="O438">
        <v>1</v>
      </c>
      <c r="P438">
        <v>1</v>
      </c>
      <c r="Q438">
        <v>1</v>
      </c>
      <c r="R438">
        <v>1</v>
      </c>
      <c r="S438">
        <v>1</v>
      </c>
    </row>
    <row r="439" spans="1:19" x14ac:dyDescent="0.25">
      <c r="A439" s="1">
        <v>0.62813811342592596</v>
      </c>
      <c r="B439" t="s">
        <v>2</v>
      </c>
      <c r="C439">
        <v>438</v>
      </c>
      <c r="D439">
        <v>0</v>
      </c>
      <c r="E439">
        <v>1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1</v>
      </c>
      <c r="M439">
        <v>1</v>
      </c>
      <c r="N439">
        <v>1</v>
      </c>
      <c r="O439">
        <v>1</v>
      </c>
      <c r="P439">
        <v>1</v>
      </c>
      <c r="Q439">
        <v>1</v>
      </c>
      <c r="R439">
        <v>1</v>
      </c>
      <c r="S439">
        <v>1</v>
      </c>
    </row>
    <row r="440" spans="1:19" x14ac:dyDescent="0.25">
      <c r="A440" s="1">
        <v>0.62813822916666662</v>
      </c>
      <c r="B440" t="s">
        <v>2</v>
      </c>
      <c r="C440">
        <v>439</v>
      </c>
      <c r="D440">
        <v>0</v>
      </c>
      <c r="E440">
        <v>1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1</v>
      </c>
      <c r="M440">
        <v>1</v>
      </c>
      <c r="N440">
        <v>1</v>
      </c>
      <c r="O440">
        <v>1</v>
      </c>
      <c r="P440">
        <v>1</v>
      </c>
      <c r="Q440">
        <v>1</v>
      </c>
      <c r="R440">
        <v>1</v>
      </c>
      <c r="S440">
        <v>1</v>
      </c>
    </row>
    <row r="441" spans="1:19" x14ac:dyDescent="0.25">
      <c r="A441" s="1">
        <v>0.62813834490740739</v>
      </c>
      <c r="B441" t="s">
        <v>2</v>
      </c>
      <c r="C441">
        <v>440</v>
      </c>
      <c r="D441">
        <v>0</v>
      </c>
      <c r="E441">
        <v>1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1</v>
      </c>
      <c r="M441">
        <v>1</v>
      </c>
      <c r="N441">
        <v>1</v>
      </c>
      <c r="O441">
        <v>1</v>
      </c>
      <c r="P441">
        <v>1</v>
      </c>
      <c r="Q441">
        <v>1</v>
      </c>
      <c r="R441">
        <v>1</v>
      </c>
      <c r="S441">
        <v>1</v>
      </c>
    </row>
    <row r="442" spans="1:19" x14ac:dyDescent="0.25">
      <c r="A442" s="1">
        <v>0.62813846064814816</v>
      </c>
      <c r="B442" t="s">
        <v>1</v>
      </c>
      <c r="C442">
        <v>441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1</v>
      </c>
      <c r="M442">
        <v>1</v>
      </c>
      <c r="N442">
        <v>1</v>
      </c>
      <c r="O442">
        <v>1</v>
      </c>
      <c r="P442">
        <v>1</v>
      </c>
      <c r="Q442">
        <v>1</v>
      </c>
      <c r="R442">
        <v>1</v>
      </c>
      <c r="S442">
        <v>1</v>
      </c>
    </row>
    <row r="443" spans="1:19" x14ac:dyDescent="0.25">
      <c r="A443" s="1">
        <v>0.62813857638888893</v>
      </c>
      <c r="B443" t="s">
        <v>1</v>
      </c>
      <c r="C443">
        <v>442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1</v>
      </c>
      <c r="M443">
        <v>1</v>
      </c>
      <c r="N443">
        <v>1</v>
      </c>
      <c r="O443">
        <v>1</v>
      </c>
      <c r="P443">
        <v>1</v>
      </c>
      <c r="Q443">
        <v>1</v>
      </c>
      <c r="R443">
        <v>1</v>
      </c>
      <c r="S443">
        <v>1</v>
      </c>
    </row>
    <row r="444" spans="1:19" x14ac:dyDescent="0.25">
      <c r="A444" s="1">
        <v>0.62813869212962958</v>
      </c>
      <c r="B444" t="s">
        <v>1</v>
      </c>
      <c r="C444">
        <v>443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1</v>
      </c>
      <c r="M444">
        <v>1</v>
      </c>
      <c r="N444">
        <v>1</v>
      </c>
      <c r="O444">
        <v>1</v>
      </c>
      <c r="P444">
        <v>1</v>
      </c>
      <c r="Q444">
        <v>1</v>
      </c>
      <c r="R444">
        <v>1</v>
      </c>
      <c r="S444">
        <v>1</v>
      </c>
    </row>
    <row r="445" spans="1:19" x14ac:dyDescent="0.25">
      <c r="A445" s="1">
        <v>0.62813880787037035</v>
      </c>
      <c r="B445" t="s">
        <v>1</v>
      </c>
      <c r="C445">
        <v>444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1</v>
      </c>
      <c r="M445">
        <v>1</v>
      </c>
      <c r="N445">
        <v>1</v>
      </c>
      <c r="O445">
        <v>1</v>
      </c>
      <c r="P445">
        <v>1</v>
      </c>
      <c r="Q445">
        <v>1</v>
      </c>
      <c r="R445">
        <v>1</v>
      </c>
      <c r="S445">
        <v>1</v>
      </c>
    </row>
    <row r="446" spans="1:19" x14ac:dyDescent="0.25">
      <c r="A446" s="1">
        <v>0.62813892361111112</v>
      </c>
      <c r="B446" t="s">
        <v>1</v>
      </c>
      <c r="C446">
        <v>445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1</v>
      </c>
      <c r="M446">
        <v>1</v>
      </c>
      <c r="N446">
        <v>1</v>
      </c>
      <c r="O446">
        <v>1</v>
      </c>
      <c r="P446">
        <v>1</v>
      </c>
      <c r="Q446">
        <v>1</v>
      </c>
      <c r="R446">
        <v>1</v>
      </c>
      <c r="S446">
        <v>1</v>
      </c>
    </row>
    <row r="447" spans="1:19" x14ac:dyDescent="0.25">
      <c r="A447" s="1">
        <v>0.62813903935185189</v>
      </c>
      <c r="B447" t="s">
        <v>1</v>
      </c>
      <c r="C447">
        <v>446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1</v>
      </c>
      <c r="M447">
        <v>1</v>
      </c>
      <c r="N447">
        <v>1</v>
      </c>
      <c r="O447">
        <v>1</v>
      </c>
      <c r="P447">
        <v>1</v>
      </c>
      <c r="Q447">
        <v>1</v>
      </c>
      <c r="R447">
        <v>1</v>
      </c>
      <c r="S447">
        <v>1</v>
      </c>
    </row>
    <row r="448" spans="1:19" x14ac:dyDescent="0.25">
      <c r="A448" s="1">
        <v>0.62813915509259255</v>
      </c>
      <c r="B448" t="s">
        <v>1</v>
      </c>
      <c r="C448">
        <v>447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1</v>
      </c>
      <c r="M448">
        <v>1</v>
      </c>
      <c r="N448">
        <v>1</v>
      </c>
      <c r="O448">
        <v>1</v>
      </c>
      <c r="P448">
        <v>1</v>
      </c>
      <c r="Q448">
        <v>1</v>
      </c>
      <c r="R448">
        <v>1</v>
      </c>
      <c r="S448">
        <v>1</v>
      </c>
    </row>
    <row r="449" spans="1:19" x14ac:dyDescent="0.25">
      <c r="A449" s="1">
        <v>0.62813927083333332</v>
      </c>
      <c r="B449" t="s">
        <v>1</v>
      </c>
      <c r="C449">
        <v>448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1</v>
      </c>
      <c r="M449">
        <v>1</v>
      </c>
      <c r="N449">
        <v>1</v>
      </c>
      <c r="O449">
        <v>1</v>
      </c>
      <c r="P449">
        <v>1</v>
      </c>
      <c r="Q449">
        <v>1</v>
      </c>
      <c r="R449">
        <v>1</v>
      </c>
      <c r="S449">
        <v>1</v>
      </c>
    </row>
    <row r="450" spans="1:19" x14ac:dyDescent="0.25">
      <c r="A450" s="1">
        <v>0.62813938657407409</v>
      </c>
      <c r="B450" t="s">
        <v>1</v>
      </c>
      <c r="C450">
        <v>449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1</v>
      </c>
      <c r="M450">
        <v>1</v>
      </c>
      <c r="N450">
        <v>1</v>
      </c>
      <c r="O450">
        <v>1</v>
      </c>
      <c r="P450">
        <v>1</v>
      </c>
      <c r="Q450">
        <v>1</v>
      </c>
      <c r="R450">
        <v>1</v>
      </c>
      <c r="S450">
        <v>1</v>
      </c>
    </row>
    <row r="451" spans="1:19" x14ac:dyDescent="0.25">
      <c r="A451" s="1">
        <v>0.62813950231481486</v>
      </c>
      <c r="B451" t="s">
        <v>1</v>
      </c>
      <c r="C451">
        <v>450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1</v>
      </c>
      <c r="M451">
        <v>1</v>
      </c>
      <c r="N451">
        <v>1</v>
      </c>
      <c r="O451">
        <v>1</v>
      </c>
      <c r="P451">
        <v>1</v>
      </c>
      <c r="Q451">
        <v>1</v>
      </c>
      <c r="R451">
        <v>1</v>
      </c>
      <c r="S451">
        <v>1</v>
      </c>
    </row>
    <row r="452" spans="1:19" x14ac:dyDescent="0.25">
      <c r="A452" s="1">
        <v>0.62813961805555552</v>
      </c>
      <c r="B452" t="s">
        <v>1</v>
      </c>
      <c r="C452">
        <v>451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1</v>
      </c>
      <c r="M452">
        <v>1</v>
      </c>
      <c r="N452">
        <v>1</v>
      </c>
      <c r="O452">
        <v>1</v>
      </c>
      <c r="P452">
        <v>1</v>
      </c>
      <c r="Q452">
        <v>1</v>
      </c>
      <c r="R452">
        <v>1</v>
      </c>
      <c r="S452">
        <v>1</v>
      </c>
    </row>
    <row r="453" spans="1:19" x14ac:dyDescent="0.25">
      <c r="A453" s="1">
        <v>0.62813973379629628</v>
      </c>
      <c r="B453" t="s">
        <v>1</v>
      </c>
      <c r="C453">
        <v>452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1</v>
      </c>
      <c r="M453">
        <v>1</v>
      </c>
      <c r="N453">
        <v>1</v>
      </c>
      <c r="O453">
        <v>1</v>
      </c>
      <c r="P453">
        <v>1</v>
      </c>
      <c r="Q453">
        <v>1</v>
      </c>
      <c r="R453">
        <v>1</v>
      </c>
      <c r="S453">
        <v>1</v>
      </c>
    </row>
    <row r="454" spans="1:19" x14ac:dyDescent="0.25">
      <c r="A454" s="1">
        <v>0.62813984953703705</v>
      </c>
      <c r="B454" t="s">
        <v>1</v>
      </c>
      <c r="C454">
        <v>453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1</v>
      </c>
      <c r="M454">
        <v>1</v>
      </c>
      <c r="N454">
        <v>1</v>
      </c>
      <c r="O454">
        <v>1</v>
      </c>
      <c r="P454">
        <v>1</v>
      </c>
      <c r="Q454">
        <v>1</v>
      </c>
      <c r="R454">
        <v>1</v>
      </c>
      <c r="S454">
        <v>1</v>
      </c>
    </row>
    <row r="455" spans="1:19" x14ac:dyDescent="0.25">
      <c r="A455" s="1">
        <v>0.62813996527777782</v>
      </c>
      <c r="B455" t="s">
        <v>1</v>
      </c>
      <c r="C455">
        <v>454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1</v>
      </c>
      <c r="M455">
        <v>1</v>
      </c>
      <c r="N455">
        <v>1</v>
      </c>
      <c r="O455">
        <v>1</v>
      </c>
      <c r="P455">
        <v>1</v>
      </c>
      <c r="Q455">
        <v>1</v>
      </c>
      <c r="R455">
        <v>1</v>
      </c>
      <c r="S455">
        <v>1</v>
      </c>
    </row>
    <row r="456" spans="1:19" x14ac:dyDescent="0.25">
      <c r="A456" s="1">
        <v>0.62814008101851848</v>
      </c>
      <c r="B456" t="s">
        <v>1</v>
      </c>
      <c r="C456">
        <v>455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1</v>
      </c>
      <c r="M456">
        <v>1</v>
      </c>
      <c r="N456">
        <v>1</v>
      </c>
      <c r="O456">
        <v>1</v>
      </c>
      <c r="P456">
        <v>1</v>
      </c>
      <c r="Q456">
        <v>1</v>
      </c>
      <c r="R456">
        <v>1</v>
      </c>
      <c r="S456">
        <v>1</v>
      </c>
    </row>
    <row r="457" spans="1:19" x14ac:dyDescent="0.25">
      <c r="A457" s="1">
        <v>0.62814019675925925</v>
      </c>
      <c r="B457" t="s">
        <v>1</v>
      </c>
      <c r="C457">
        <v>456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1</v>
      </c>
      <c r="M457">
        <v>1</v>
      </c>
      <c r="N457">
        <v>1</v>
      </c>
      <c r="O457">
        <v>1</v>
      </c>
      <c r="P457">
        <v>1</v>
      </c>
      <c r="Q457">
        <v>1</v>
      </c>
      <c r="R457">
        <v>1</v>
      </c>
      <c r="S457">
        <v>1</v>
      </c>
    </row>
    <row r="458" spans="1:19" x14ac:dyDescent="0.25">
      <c r="A458" s="1">
        <v>0.62814031250000002</v>
      </c>
      <c r="B458" t="s">
        <v>1</v>
      </c>
      <c r="C458">
        <v>457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1</v>
      </c>
      <c r="M458">
        <v>1</v>
      </c>
      <c r="N458">
        <v>1</v>
      </c>
      <c r="O458">
        <v>1</v>
      </c>
      <c r="P458">
        <v>1</v>
      </c>
      <c r="Q458">
        <v>1</v>
      </c>
      <c r="R458">
        <v>1</v>
      </c>
      <c r="S458">
        <v>1</v>
      </c>
    </row>
    <row r="459" spans="1:19" x14ac:dyDescent="0.25">
      <c r="A459" s="1">
        <v>0.62814042824074079</v>
      </c>
      <c r="B459" t="s">
        <v>1</v>
      </c>
      <c r="C459">
        <v>458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1</v>
      </c>
      <c r="M459">
        <v>1</v>
      </c>
      <c r="N459">
        <v>1</v>
      </c>
      <c r="O459">
        <v>1</v>
      </c>
      <c r="P459">
        <v>1</v>
      </c>
      <c r="Q459">
        <v>1</v>
      </c>
      <c r="R459">
        <v>1</v>
      </c>
      <c r="S459">
        <v>1</v>
      </c>
    </row>
    <row r="460" spans="1:19" x14ac:dyDescent="0.25">
      <c r="A460" s="1">
        <v>0.62814054398148145</v>
      </c>
      <c r="B460" t="s">
        <v>1</v>
      </c>
      <c r="C460">
        <v>459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1</v>
      </c>
      <c r="M460">
        <v>1</v>
      </c>
      <c r="N460">
        <v>1</v>
      </c>
      <c r="O460">
        <v>1</v>
      </c>
      <c r="P460">
        <v>1</v>
      </c>
      <c r="Q460">
        <v>1</v>
      </c>
      <c r="R460">
        <v>1</v>
      </c>
      <c r="S460">
        <v>1</v>
      </c>
    </row>
    <row r="461" spans="1:19" x14ac:dyDescent="0.25">
      <c r="A461" s="1">
        <v>0.62814065972222222</v>
      </c>
      <c r="B461" t="s">
        <v>1</v>
      </c>
      <c r="C461">
        <v>460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1</v>
      </c>
      <c r="M461">
        <v>1</v>
      </c>
      <c r="N461">
        <v>1</v>
      </c>
      <c r="O461">
        <v>1</v>
      </c>
      <c r="P461">
        <v>1</v>
      </c>
      <c r="Q461">
        <v>1</v>
      </c>
      <c r="R461">
        <v>1</v>
      </c>
      <c r="S461">
        <v>1</v>
      </c>
    </row>
    <row r="462" spans="1:19" x14ac:dyDescent="0.25">
      <c r="A462" s="1">
        <v>0.62814077546296299</v>
      </c>
      <c r="B462" t="s">
        <v>1</v>
      </c>
      <c r="C462">
        <v>461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1</v>
      </c>
      <c r="M462">
        <v>1</v>
      </c>
      <c r="N462">
        <v>1</v>
      </c>
      <c r="O462">
        <v>1</v>
      </c>
      <c r="P462">
        <v>1</v>
      </c>
      <c r="Q462">
        <v>1</v>
      </c>
      <c r="R462">
        <v>1</v>
      </c>
      <c r="S462">
        <v>1</v>
      </c>
    </row>
    <row r="463" spans="1:19" x14ac:dyDescent="0.25">
      <c r="A463" s="1">
        <v>0.62814089120370376</v>
      </c>
      <c r="B463" t="s">
        <v>1</v>
      </c>
      <c r="C463">
        <v>462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1</v>
      </c>
      <c r="M463">
        <v>1</v>
      </c>
      <c r="N463">
        <v>1</v>
      </c>
      <c r="O463">
        <v>1</v>
      </c>
      <c r="P463">
        <v>1</v>
      </c>
      <c r="Q463">
        <v>1</v>
      </c>
      <c r="R463">
        <v>1</v>
      </c>
      <c r="S463">
        <v>1</v>
      </c>
    </row>
    <row r="464" spans="1:19" x14ac:dyDescent="0.25">
      <c r="A464" s="1">
        <v>0.62814100694444441</v>
      </c>
      <c r="B464" t="s">
        <v>1</v>
      </c>
      <c r="C464">
        <v>463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1</v>
      </c>
      <c r="M464">
        <v>1</v>
      </c>
      <c r="N464">
        <v>1</v>
      </c>
      <c r="O464">
        <v>1</v>
      </c>
      <c r="P464">
        <v>1</v>
      </c>
      <c r="Q464">
        <v>1</v>
      </c>
      <c r="R464">
        <v>1</v>
      </c>
      <c r="S464">
        <v>1</v>
      </c>
    </row>
    <row r="465" spans="1:19" x14ac:dyDescent="0.25">
      <c r="A465" s="1">
        <v>0.62814112268518518</v>
      </c>
      <c r="B465" t="s">
        <v>1</v>
      </c>
      <c r="C465">
        <v>464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1</v>
      </c>
      <c r="M465">
        <v>1</v>
      </c>
      <c r="N465">
        <v>1</v>
      </c>
      <c r="O465">
        <v>1</v>
      </c>
      <c r="P465">
        <v>1</v>
      </c>
      <c r="Q465">
        <v>1</v>
      </c>
      <c r="R465">
        <v>1</v>
      </c>
      <c r="S465">
        <v>1</v>
      </c>
    </row>
    <row r="466" spans="1:19" x14ac:dyDescent="0.25">
      <c r="A466" s="1">
        <v>0.62814123842592595</v>
      </c>
      <c r="B466" t="s">
        <v>1</v>
      </c>
      <c r="C466">
        <v>465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1</v>
      </c>
      <c r="M466">
        <v>1</v>
      </c>
      <c r="N466">
        <v>1</v>
      </c>
      <c r="O466">
        <v>1</v>
      </c>
      <c r="P466">
        <v>1</v>
      </c>
      <c r="Q466">
        <v>1</v>
      </c>
      <c r="R466">
        <v>1</v>
      </c>
      <c r="S466">
        <v>1</v>
      </c>
    </row>
    <row r="467" spans="1:19" x14ac:dyDescent="0.25">
      <c r="A467" s="1">
        <v>0.62814135416666672</v>
      </c>
      <c r="B467" t="s">
        <v>1</v>
      </c>
      <c r="C467">
        <v>466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1</v>
      </c>
      <c r="M467">
        <v>1</v>
      </c>
      <c r="N467">
        <v>1</v>
      </c>
      <c r="O467">
        <v>1</v>
      </c>
      <c r="P467">
        <v>1</v>
      </c>
      <c r="Q467">
        <v>1</v>
      </c>
      <c r="R467">
        <v>1</v>
      </c>
      <c r="S467">
        <v>1</v>
      </c>
    </row>
    <row r="468" spans="1:19" x14ac:dyDescent="0.25">
      <c r="A468" s="1">
        <v>0.62814146990740738</v>
      </c>
      <c r="B468" t="s">
        <v>1</v>
      </c>
      <c r="C468">
        <v>467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1</v>
      </c>
      <c r="M468">
        <v>1</v>
      </c>
      <c r="N468">
        <v>1</v>
      </c>
      <c r="O468">
        <v>1</v>
      </c>
      <c r="P468">
        <v>1</v>
      </c>
      <c r="Q468">
        <v>1</v>
      </c>
      <c r="R468">
        <v>1</v>
      </c>
      <c r="S468">
        <v>1</v>
      </c>
    </row>
    <row r="469" spans="1:19" x14ac:dyDescent="0.25">
      <c r="A469" s="1">
        <v>0.62814158564814815</v>
      </c>
      <c r="B469" t="s">
        <v>1</v>
      </c>
      <c r="C469">
        <v>468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1</v>
      </c>
      <c r="M469">
        <v>1</v>
      </c>
      <c r="N469">
        <v>1</v>
      </c>
      <c r="O469">
        <v>1</v>
      </c>
      <c r="P469">
        <v>1</v>
      </c>
      <c r="Q469">
        <v>1</v>
      </c>
      <c r="R469">
        <v>1</v>
      </c>
      <c r="S469">
        <v>1</v>
      </c>
    </row>
    <row r="470" spans="1:19" x14ac:dyDescent="0.25">
      <c r="A470" s="1">
        <v>0.62814170138888892</v>
      </c>
      <c r="B470" t="s">
        <v>1</v>
      </c>
      <c r="C470">
        <v>469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1</v>
      </c>
      <c r="M470">
        <v>1</v>
      </c>
      <c r="N470">
        <v>1</v>
      </c>
      <c r="O470">
        <v>1</v>
      </c>
      <c r="P470">
        <v>1</v>
      </c>
      <c r="Q470">
        <v>1</v>
      </c>
      <c r="R470">
        <v>1</v>
      </c>
      <c r="S470">
        <v>1</v>
      </c>
    </row>
    <row r="471" spans="1:19" x14ac:dyDescent="0.25">
      <c r="A471" s="1">
        <v>0.62814181712962958</v>
      </c>
      <c r="B471" t="s">
        <v>1</v>
      </c>
      <c r="C471">
        <v>470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1</v>
      </c>
      <c r="M471">
        <v>1</v>
      </c>
      <c r="N471">
        <v>1</v>
      </c>
      <c r="O471">
        <v>1</v>
      </c>
      <c r="P471">
        <v>1</v>
      </c>
      <c r="Q471">
        <v>1</v>
      </c>
      <c r="R471">
        <v>1</v>
      </c>
      <c r="S471">
        <v>1</v>
      </c>
    </row>
    <row r="472" spans="1:19" x14ac:dyDescent="0.25">
      <c r="A472" s="1">
        <v>0.62814193287037035</v>
      </c>
      <c r="B472" t="s">
        <v>1</v>
      </c>
      <c r="C472">
        <v>471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1</v>
      </c>
      <c r="M472">
        <v>1</v>
      </c>
      <c r="N472">
        <v>1</v>
      </c>
      <c r="O472">
        <v>1</v>
      </c>
      <c r="P472">
        <v>1</v>
      </c>
      <c r="Q472">
        <v>1</v>
      </c>
      <c r="R472">
        <v>1</v>
      </c>
      <c r="S472">
        <v>1</v>
      </c>
    </row>
    <row r="473" spans="1:19" x14ac:dyDescent="0.25">
      <c r="A473" s="1">
        <v>0.62814204861111111</v>
      </c>
      <c r="B473" t="s">
        <v>1</v>
      </c>
      <c r="C473">
        <v>472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1</v>
      </c>
      <c r="M473">
        <v>1</v>
      </c>
      <c r="N473">
        <v>1</v>
      </c>
      <c r="O473">
        <v>1</v>
      </c>
      <c r="P473">
        <v>1</v>
      </c>
      <c r="Q473">
        <v>1</v>
      </c>
      <c r="R473">
        <v>1</v>
      </c>
      <c r="S473">
        <v>1</v>
      </c>
    </row>
    <row r="474" spans="1:19" x14ac:dyDescent="0.25">
      <c r="A474" s="1">
        <v>0.62814216435185188</v>
      </c>
      <c r="B474" t="s">
        <v>1</v>
      </c>
      <c r="C474">
        <v>473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1</v>
      </c>
      <c r="M474">
        <v>1</v>
      </c>
      <c r="N474">
        <v>1</v>
      </c>
      <c r="O474">
        <v>1</v>
      </c>
      <c r="P474">
        <v>1</v>
      </c>
      <c r="Q474">
        <v>1</v>
      </c>
      <c r="R474">
        <v>1</v>
      </c>
      <c r="S474">
        <v>1</v>
      </c>
    </row>
    <row r="475" spans="1:19" x14ac:dyDescent="0.25">
      <c r="A475" s="1">
        <v>0.62814228009259254</v>
      </c>
      <c r="B475" t="s">
        <v>1</v>
      </c>
      <c r="C475">
        <v>474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1</v>
      </c>
      <c r="M475">
        <v>1</v>
      </c>
      <c r="N475">
        <v>1</v>
      </c>
      <c r="O475">
        <v>1</v>
      </c>
      <c r="P475">
        <v>1</v>
      </c>
      <c r="Q475">
        <v>1</v>
      </c>
      <c r="R475">
        <v>1</v>
      </c>
      <c r="S475">
        <v>1</v>
      </c>
    </row>
    <row r="476" spans="1:19" x14ac:dyDescent="0.25">
      <c r="A476" s="1">
        <v>0.62814239583333331</v>
      </c>
      <c r="B476" t="s">
        <v>1</v>
      </c>
      <c r="C476">
        <v>475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1</v>
      </c>
      <c r="M476">
        <v>1</v>
      </c>
      <c r="N476">
        <v>1</v>
      </c>
      <c r="O476">
        <v>1</v>
      </c>
      <c r="P476">
        <v>1</v>
      </c>
      <c r="Q476">
        <v>1</v>
      </c>
      <c r="R476">
        <v>1</v>
      </c>
      <c r="S476">
        <v>1</v>
      </c>
    </row>
    <row r="477" spans="1:19" x14ac:dyDescent="0.25">
      <c r="A477" s="1">
        <v>0.62814251157407408</v>
      </c>
      <c r="B477" t="s">
        <v>1</v>
      </c>
      <c r="C477">
        <v>476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1</v>
      </c>
      <c r="M477">
        <v>1</v>
      </c>
      <c r="N477">
        <v>1</v>
      </c>
      <c r="O477">
        <v>1</v>
      </c>
      <c r="P477">
        <v>1</v>
      </c>
      <c r="Q477">
        <v>1</v>
      </c>
      <c r="R477">
        <v>1</v>
      </c>
      <c r="S477">
        <v>1</v>
      </c>
    </row>
    <row r="478" spans="1:19" x14ac:dyDescent="0.25">
      <c r="A478" s="1">
        <v>0.62814262731481485</v>
      </c>
      <c r="B478" t="s">
        <v>1</v>
      </c>
      <c r="C478">
        <v>477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1</v>
      </c>
      <c r="M478">
        <v>1</v>
      </c>
      <c r="N478">
        <v>1</v>
      </c>
      <c r="O478">
        <v>1</v>
      </c>
      <c r="P478">
        <v>1</v>
      </c>
      <c r="Q478">
        <v>1</v>
      </c>
      <c r="R478">
        <v>1</v>
      </c>
      <c r="S478">
        <v>1</v>
      </c>
    </row>
    <row r="479" spans="1:19" x14ac:dyDescent="0.25">
      <c r="A479" s="1">
        <v>0.62814273148148148</v>
      </c>
      <c r="B479" t="s">
        <v>1</v>
      </c>
      <c r="C479">
        <v>478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1</v>
      </c>
      <c r="M479">
        <v>1</v>
      </c>
      <c r="N479">
        <v>1</v>
      </c>
      <c r="O479">
        <v>1</v>
      </c>
      <c r="P479">
        <v>1</v>
      </c>
      <c r="Q479">
        <v>1</v>
      </c>
      <c r="R479">
        <v>1</v>
      </c>
      <c r="S479">
        <v>1</v>
      </c>
    </row>
    <row r="480" spans="1:19" x14ac:dyDescent="0.25">
      <c r="A480" s="1">
        <v>0.62814285879629628</v>
      </c>
      <c r="B480" t="s">
        <v>1</v>
      </c>
      <c r="C480">
        <v>479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1</v>
      </c>
      <c r="M480">
        <v>1</v>
      </c>
      <c r="N480">
        <v>1</v>
      </c>
      <c r="O480">
        <v>1</v>
      </c>
      <c r="P480">
        <v>1</v>
      </c>
      <c r="Q480">
        <v>1</v>
      </c>
      <c r="R480">
        <v>1</v>
      </c>
      <c r="S480">
        <v>1</v>
      </c>
    </row>
    <row r="481" spans="1:19" x14ac:dyDescent="0.25">
      <c r="A481" s="1">
        <v>0.62814297453703705</v>
      </c>
      <c r="B481" t="s">
        <v>1</v>
      </c>
      <c r="C481">
        <v>480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1</v>
      </c>
      <c r="M481">
        <v>1</v>
      </c>
      <c r="N481">
        <v>1</v>
      </c>
      <c r="O481">
        <v>1</v>
      </c>
      <c r="P481">
        <v>1</v>
      </c>
      <c r="Q481">
        <v>1</v>
      </c>
      <c r="R481">
        <v>1</v>
      </c>
      <c r="S481">
        <v>1</v>
      </c>
    </row>
    <row r="482" spans="1:19" x14ac:dyDescent="0.25">
      <c r="A482" s="1">
        <v>0.62814309027777782</v>
      </c>
      <c r="B482" t="s">
        <v>1</v>
      </c>
      <c r="C482">
        <v>481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1</v>
      </c>
      <c r="M482">
        <v>1</v>
      </c>
      <c r="N482">
        <v>1</v>
      </c>
      <c r="O482">
        <v>1</v>
      </c>
      <c r="P482">
        <v>1</v>
      </c>
      <c r="Q482">
        <v>1</v>
      </c>
      <c r="R482">
        <v>1</v>
      </c>
      <c r="S482">
        <v>1</v>
      </c>
    </row>
    <row r="483" spans="1:19" x14ac:dyDescent="0.25">
      <c r="A483" s="1">
        <v>0.62814320601851847</v>
      </c>
      <c r="B483" t="s">
        <v>1</v>
      </c>
      <c r="C483">
        <v>482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1</v>
      </c>
      <c r="M483">
        <v>1</v>
      </c>
      <c r="N483">
        <v>1</v>
      </c>
      <c r="O483">
        <v>1</v>
      </c>
      <c r="P483">
        <v>1</v>
      </c>
      <c r="Q483">
        <v>1</v>
      </c>
      <c r="R483">
        <v>1</v>
      </c>
      <c r="S483">
        <v>1</v>
      </c>
    </row>
    <row r="484" spans="1:19" x14ac:dyDescent="0.25">
      <c r="A484" s="1">
        <v>0.62814331018518521</v>
      </c>
      <c r="B484" t="s">
        <v>1</v>
      </c>
      <c r="C484">
        <v>483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1</v>
      </c>
      <c r="M484">
        <v>1</v>
      </c>
      <c r="N484">
        <v>1</v>
      </c>
      <c r="O484">
        <v>1</v>
      </c>
      <c r="P484">
        <v>1</v>
      </c>
      <c r="Q484">
        <v>1</v>
      </c>
      <c r="R484">
        <v>1</v>
      </c>
      <c r="S484">
        <v>1</v>
      </c>
    </row>
    <row r="485" spans="1:19" x14ac:dyDescent="0.25">
      <c r="A485" s="1">
        <v>0.62814343750000001</v>
      </c>
      <c r="B485" t="s">
        <v>1</v>
      </c>
      <c r="C485">
        <v>484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1</v>
      </c>
      <c r="M485">
        <v>1</v>
      </c>
      <c r="N485">
        <v>1</v>
      </c>
      <c r="O485">
        <v>1</v>
      </c>
      <c r="P485">
        <v>1</v>
      </c>
      <c r="Q485">
        <v>1</v>
      </c>
      <c r="R485">
        <v>1</v>
      </c>
      <c r="S485">
        <v>1</v>
      </c>
    </row>
    <row r="486" spans="1:19" x14ac:dyDescent="0.25">
      <c r="A486" s="1">
        <v>0.62814355324074078</v>
      </c>
      <c r="B486" t="s">
        <v>1</v>
      </c>
      <c r="C486">
        <v>485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1</v>
      </c>
      <c r="M486">
        <v>1</v>
      </c>
      <c r="N486">
        <v>1</v>
      </c>
      <c r="O486">
        <v>1</v>
      </c>
      <c r="P486">
        <v>1</v>
      </c>
      <c r="Q486">
        <v>1</v>
      </c>
      <c r="R486">
        <v>1</v>
      </c>
      <c r="S486">
        <v>1</v>
      </c>
    </row>
    <row r="487" spans="1:19" x14ac:dyDescent="0.25">
      <c r="A487" s="1">
        <v>0.62814366898148144</v>
      </c>
      <c r="B487" t="s">
        <v>1</v>
      </c>
      <c r="C487">
        <v>486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1</v>
      </c>
      <c r="M487">
        <v>1</v>
      </c>
      <c r="N487">
        <v>1</v>
      </c>
      <c r="O487">
        <v>1</v>
      </c>
      <c r="P487">
        <v>1</v>
      </c>
      <c r="Q487">
        <v>1</v>
      </c>
      <c r="R487">
        <v>1</v>
      </c>
      <c r="S487">
        <v>1</v>
      </c>
    </row>
    <row r="488" spans="1:19" x14ac:dyDescent="0.25">
      <c r="A488" s="1">
        <v>0.62814377314814818</v>
      </c>
      <c r="B488" t="s">
        <v>1</v>
      </c>
      <c r="C488">
        <v>487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1</v>
      </c>
      <c r="M488">
        <v>1</v>
      </c>
      <c r="N488">
        <v>1</v>
      </c>
      <c r="O488">
        <v>1</v>
      </c>
      <c r="P488">
        <v>1</v>
      </c>
      <c r="Q488">
        <v>1</v>
      </c>
      <c r="R488">
        <v>1</v>
      </c>
      <c r="S488">
        <v>1</v>
      </c>
    </row>
    <row r="489" spans="1:19" x14ac:dyDescent="0.25">
      <c r="A489" s="1">
        <v>0.62814388888888883</v>
      </c>
      <c r="B489" t="s">
        <v>1</v>
      </c>
      <c r="C489">
        <v>488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1</v>
      </c>
      <c r="M489">
        <v>1</v>
      </c>
      <c r="N489">
        <v>1</v>
      </c>
      <c r="O489">
        <v>1</v>
      </c>
      <c r="P489">
        <v>1</v>
      </c>
      <c r="Q489">
        <v>1</v>
      </c>
      <c r="R489">
        <v>1</v>
      </c>
      <c r="S489">
        <v>1</v>
      </c>
    </row>
    <row r="490" spans="1:19" x14ac:dyDescent="0.25">
      <c r="A490" s="1">
        <v>0.6281440046296296</v>
      </c>
      <c r="B490" t="s">
        <v>1</v>
      </c>
      <c r="C490">
        <v>489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1</v>
      </c>
      <c r="M490">
        <v>1</v>
      </c>
      <c r="N490">
        <v>1</v>
      </c>
      <c r="O490">
        <v>1</v>
      </c>
      <c r="P490">
        <v>1</v>
      </c>
      <c r="Q490">
        <v>1</v>
      </c>
      <c r="R490">
        <v>1</v>
      </c>
      <c r="S490">
        <v>1</v>
      </c>
    </row>
    <row r="491" spans="1:19" x14ac:dyDescent="0.25">
      <c r="A491" s="1">
        <v>0.62814412037037037</v>
      </c>
      <c r="B491" t="s">
        <v>1</v>
      </c>
      <c r="C491">
        <v>490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1</v>
      </c>
      <c r="M491">
        <v>1</v>
      </c>
      <c r="N491">
        <v>1</v>
      </c>
      <c r="O491">
        <v>1</v>
      </c>
      <c r="P491">
        <v>1</v>
      </c>
      <c r="Q491">
        <v>1</v>
      </c>
      <c r="R491">
        <v>1</v>
      </c>
      <c r="S491">
        <v>1</v>
      </c>
    </row>
    <row r="492" spans="1:19" x14ac:dyDescent="0.25">
      <c r="A492" s="1">
        <v>0.62814423611111114</v>
      </c>
      <c r="B492" t="s">
        <v>1</v>
      </c>
      <c r="C492">
        <v>491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1</v>
      </c>
      <c r="M492">
        <v>1</v>
      </c>
      <c r="N492">
        <v>1</v>
      </c>
      <c r="O492">
        <v>1</v>
      </c>
      <c r="P492">
        <v>1</v>
      </c>
      <c r="Q492">
        <v>1</v>
      </c>
      <c r="R492">
        <v>1</v>
      </c>
      <c r="S492">
        <v>1</v>
      </c>
    </row>
    <row r="493" spans="1:19" x14ac:dyDescent="0.25">
      <c r="A493" s="1">
        <v>0.6281443518518518</v>
      </c>
      <c r="B493" t="s">
        <v>1</v>
      </c>
      <c r="C493">
        <v>492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1</v>
      </c>
      <c r="M493">
        <v>1</v>
      </c>
      <c r="N493">
        <v>1</v>
      </c>
      <c r="O493">
        <v>1</v>
      </c>
      <c r="P493">
        <v>1</v>
      </c>
      <c r="Q493">
        <v>1</v>
      </c>
      <c r="R493">
        <v>1</v>
      </c>
      <c r="S493">
        <v>1</v>
      </c>
    </row>
    <row r="494" spans="1:19" x14ac:dyDescent="0.25">
      <c r="A494" s="1">
        <v>0.62814446759259257</v>
      </c>
      <c r="B494" t="s">
        <v>1</v>
      </c>
      <c r="C494">
        <v>493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1</v>
      </c>
      <c r="M494">
        <v>1</v>
      </c>
      <c r="N494">
        <v>1</v>
      </c>
      <c r="O494">
        <v>1</v>
      </c>
      <c r="P494">
        <v>1</v>
      </c>
      <c r="Q494">
        <v>1</v>
      </c>
      <c r="R494">
        <v>1</v>
      </c>
      <c r="S494">
        <v>1</v>
      </c>
    </row>
    <row r="495" spans="1:19" x14ac:dyDescent="0.25">
      <c r="A495" s="1">
        <v>0.62814458333333334</v>
      </c>
      <c r="B495" t="s">
        <v>2</v>
      </c>
      <c r="C495">
        <v>494</v>
      </c>
      <c r="D495">
        <v>0</v>
      </c>
      <c r="E495">
        <v>1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1</v>
      </c>
      <c r="M495">
        <v>1</v>
      </c>
      <c r="N495">
        <v>1</v>
      </c>
      <c r="O495">
        <v>1</v>
      </c>
      <c r="P495">
        <v>1</v>
      </c>
      <c r="Q495">
        <v>1</v>
      </c>
      <c r="R495">
        <v>1</v>
      </c>
      <c r="S495">
        <v>1</v>
      </c>
    </row>
    <row r="496" spans="1:19" x14ac:dyDescent="0.25">
      <c r="A496" s="1">
        <v>0.62814469907407411</v>
      </c>
      <c r="B496" t="s">
        <v>2</v>
      </c>
      <c r="C496">
        <v>495</v>
      </c>
      <c r="D496">
        <v>0</v>
      </c>
      <c r="E496">
        <v>1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1</v>
      </c>
      <c r="M496">
        <v>1</v>
      </c>
      <c r="N496">
        <v>1</v>
      </c>
      <c r="O496">
        <v>1</v>
      </c>
      <c r="P496">
        <v>1</v>
      </c>
      <c r="Q496">
        <v>1</v>
      </c>
      <c r="R496">
        <v>1</v>
      </c>
      <c r="S496">
        <v>1</v>
      </c>
    </row>
    <row r="497" spans="1:19" x14ac:dyDescent="0.25">
      <c r="A497" s="1">
        <v>0.62814481481481477</v>
      </c>
      <c r="B497" t="s">
        <v>2</v>
      </c>
      <c r="C497">
        <v>496</v>
      </c>
      <c r="D497">
        <v>0</v>
      </c>
      <c r="E497">
        <v>1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1</v>
      </c>
      <c r="M497">
        <v>1</v>
      </c>
      <c r="N497">
        <v>1</v>
      </c>
      <c r="O497">
        <v>1</v>
      </c>
      <c r="P497">
        <v>1</v>
      </c>
      <c r="Q497">
        <v>1</v>
      </c>
      <c r="R497">
        <v>1</v>
      </c>
      <c r="S497">
        <v>1</v>
      </c>
    </row>
    <row r="498" spans="1:19" x14ac:dyDescent="0.25">
      <c r="A498" s="1">
        <v>0.62814493055555554</v>
      </c>
      <c r="B498" t="s">
        <v>2</v>
      </c>
      <c r="C498">
        <v>497</v>
      </c>
      <c r="D498">
        <v>0</v>
      </c>
      <c r="E498">
        <v>1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1</v>
      </c>
      <c r="M498">
        <v>1</v>
      </c>
      <c r="N498">
        <v>1</v>
      </c>
      <c r="O498">
        <v>1</v>
      </c>
      <c r="P498">
        <v>1</v>
      </c>
      <c r="Q498">
        <v>1</v>
      </c>
      <c r="R498">
        <v>1</v>
      </c>
      <c r="S498">
        <v>1</v>
      </c>
    </row>
    <row r="499" spans="1:19" x14ac:dyDescent="0.25">
      <c r="A499" s="1">
        <v>0.62814504629629631</v>
      </c>
      <c r="B499" t="s">
        <v>2</v>
      </c>
      <c r="C499">
        <v>498</v>
      </c>
      <c r="D499">
        <v>0</v>
      </c>
      <c r="E499">
        <v>1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1</v>
      </c>
      <c r="M499">
        <v>1</v>
      </c>
      <c r="N499">
        <v>1</v>
      </c>
      <c r="O499">
        <v>1</v>
      </c>
      <c r="P499">
        <v>1</v>
      </c>
      <c r="Q499">
        <v>1</v>
      </c>
      <c r="R499">
        <v>1</v>
      </c>
      <c r="S499">
        <v>1</v>
      </c>
    </row>
    <row r="500" spans="1:19" x14ac:dyDescent="0.25">
      <c r="A500" s="1">
        <v>0.62814516203703707</v>
      </c>
      <c r="B500" t="s">
        <v>2</v>
      </c>
      <c r="C500">
        <v>499</v>
      </c>
      <c r="D500">
        <v>0</v>
      </c>
      <c r="E500">
        <v>1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1</v>
      </c>
      <c r="M500">
        <v>1</v>
      </c>
      <c r="N500">
        <v>1</v>
      </c>
      <c r="O500">
        <v>1</v>
      </c>
      <c r="P500">
        <v>1</v>
      </c>
      <c r="Q500">
        <v>1</v>
      </c>
      <c r="R500">
        <v>1</v>
      </c>
      <c r="S500">
        <v>1</v>
      </c>
    </row>
    <row r="501" spans="1:19" x14ac:dyDescent="0.25">
      <c r="A501" s="1">
        <v>0.62814527777777773</v>
      </c>
      <c r="B501" t="s">
        <v>2</v>
      </c>
      <c r="C501">
        <v>500</v>
      </c>
      <c r="D501">
        <v>0</v>
      </c>
      <c r="E501">
        <v>1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1</v>
      </c>
      <c r="M501">
        <v>1</v>
      </c>
      <c r="N501">
        <v>1</v>
      </c>
      <c r="O501">
        <v>1</v>
      </c>
      <c r="P501">
        <v>1</v>
      </c>
      <c r="Q501">
        <v>1</v>
      </c>
      <c r="R501">
        <v>1</v>
      </c>
      <c r="S501">
        <v>1</v>
      </c>
    </row>
    <row r="502" spans="1:19" x14ac:dyDescent="0.25">
      <c r="A502" s="1">
        <v>0.62814540509259265</v>
      </c>
      <c r="B502" t="s">
        <v>1</v>
      </c>
      <c r="C502">
        <v>501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1</v>
      </c>
      <c r="M502">
        <v>1</v>
      </c>
      <c r="N502">
        <v>1</v>
      </c>
      <c r="O502">
        <v>1</v>
      </c>
      <c r="P502">
        <v>1</v>
      </c>
      <c r="Q502">
        <v>1</v>
      </c>
      <c r="R502">
        <v>1</v>
      </c>
      <c r="S502">
        <v>1</v>
      </c>
    </row>
    <row r="503" spans="1:19" x14ac:dyDescent="0.25">
      <c r="A503" s="1">
        <v>0.62814550925925927</v>
      </c>
      <c r="B503" t="s">
        <v>1</v>
      </c>
      <c r="C503">
        <v>502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1</v>
      </c>
      <c r="M503">
        <v>1</v>
      </c>
      <c r="N503">
        <v>1</v>
      </c>
      <c r="O503">
        <v>1</v>
      </c>
      <c r="P503">
        <v>1</v>
      </c>
      <c r="Q503">
        <v>1</v>
      </c>
      <c r="R503">
        <v>1</v>
      </c>
      <c r="S503">
        <v>1</v>
      </c>
    </row>
    <row r="504" spans="1:19" x14ac:dyDescent="0.25">
      <c r="A504" s="1">
        <v>0.62814562500000004</v>
      </c>
      <c r="B504" t="s">
        <v>1</v>
      </c>
      <c r="C504">
        <v>503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1</v>
      </c>
      <c r="M504">
        <v>1</v>
      </c>
      <c r="N504">
        <v>1</v>
      </c>
      <c r="O504">
        <v>1</v>
      </c>
      <c r="P504">
        <v>1</v>
      </c>
      <c r="Q504">
        <v>1</v>
      </c>
      <c r="R504">
        <v>1</v>
      </c>
      <c r="S504">
        <v>1</v>
      </c>
    </row>
    <row r="505" spans="1:19" x14ac:dyDescent="0.25">
      <c r="A505" s="1">
        <v>0.6281457407407407</v>
      </c>
      <c r="B505" t="s">
        <v>1</v>
      </c>
      <c r="C505">
        <v>504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1</v>
      </c>
      <c r="M505">
        <v>1</v>
      </c>
      <c r="N505">
        <v>1</v>
      </c>
      <c r="O505">
        <v>1</v>
      </c>
      <c r="P505">
        <v>1</v>
      </c>
      <c r="Q505">
        <v>1</v>
      </c>
      <c r="R505">
        <v>1</v>
      </c>
      <c r="S505">
        <v>1</v>
      </c>
    </row>
    <row r="506" spans="1:19" x14ac:dyDescent="0.25">
      <c r="A506" s="1">
        <v>0.62814585648148147</v>
      </c>
      <c r="B506" t="s">
        <v>1</v>
      </c>
      <c r="C506">
        <v>505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1</v>
      </c>
      <c r="M506">
        <v>1</v>
      </c>
      <c r="N506">
        <v>1</v>
      </c>
      <c r="O506">
        <v>1</v>
      </c>
      <c r="P506">
        <v>1</v>
      </c>
      <c r="Q506">
        <v>1</v>
      </c>
      <c r="R506">
        <v>1</v>
      </c>
      <c r="S506">
        <v>1</v>
      </c>
    </row>
    <row r="507" spans="1:19" x14ac:dyDescent="0.25">
      <c r="A507" s="1">
        <v>0.62814597222222224</v>
      </c>
      <c r="B507" t="s">
        <v>1</v>
      </c>
      <c r="C507">
        <v>506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1</v>
      </c>
      <c r="M507">
        <v>1</v>
      </c>
      <c r="N507">
        <v>1</v>
      </c>
      <c r="O507">
        <v>1</v>
      </c>
      <c r="P507">
        <v>1</v>
      </c>
      <c r="Q507">
        <v>1</v>
      </c>
      <c r="R507">
        <v>1</v>
      </c>
      <c r="S507">
        <v>1</v>
      </c>
    </row>
    <row r="508" spans="1:19" x14ac:dyDescent="0.25">
      <c r="A508" s="1">
        <v>0.62814608796296301</v>
      </c>
      <c r="B508" t="s">
        <v>1</v>
      </c>
      <c r="C508">
        <v>507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1</v>
      </c>
      <c r="M508">
        <v>1</v>
      </c>
      <c r="N508">
        <v>1</v>
      </c>
      <c r="O508">
        <v>1</v>
      </c>
      <c r="P508">
        <v>1</v>
      </c>
      <c r="Q508">
        <v>1</v>
      </c>
      <c r="R508">
        <v>1</v>
      </c>
      <c r="S508">
        <v>1</v>
      </c>
    </row>
    <row r="509" spans="1:19" x14ac:dyDescent="0.25">
      <c r="A509" s="1">
        <v>0.62814620370370366</v>
      </c>
      <c r="B509" t="s">
        <v>1</v>
      </c>
      <c r="C509">
        <v>508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1</v>
      </c>
      <c r="M509">
        <v>1</v>
      </c>
      <c r="N509">
        <v>1</v>
      </c>
      <c r="O509">
        <v>1</v>
      </c>
      <c r="P509">
        <v>1</v>
      </c>
      <c r="Q509">
        <v>1</v>
      </c>
      <c r="R509">
        <v>1</v>
      </c>
      <c r="S509">
        <v>1</v>
      </c>
    </row>
    <row r="510" spans="1:19" x14ac:dyDescent="0.25">
      <c r="A510" s="1">
        <v>0.62814631944444443</v>
      </c>
      <c r="B510" t="s">
        <v>1</v>
      </c>
      <c r="C510">
        <v>509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1</v>
      </c>
      <c r="M510">
        <v>1</v>
      </c>
      <c r="N510">
        <v>1</v>
      </c>
      <c r="O510">
        <v>1</v>
      </c>
      <c r="P510">
        <v>1</v>
      </c>
      <c r="Q510">
        <v>1</v>
      </c>
      <c r="R510">
        <v>1</v>
      </c>
      <c r="S510">
        <v>1</v>
      </c>
    </row>
    <row r="511" spans="1:19" x14ac:dyDescent="0.25">
      <c r="A511" s="1">
        <v>0.6281464351851852</v>
      </c>
      <c r="B511" t="s">
        <v>1</v>
      </c>
      <c r="C511">
        <v>510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1</v>
      </c>
      <c r="M511">
        <v>1</v>
      </c>
      <c r="N511">
        <v>1</v>
      </c>
      <c r="O511">
        <v>1</v>
      </c>
      <c r="P511">
        <v>1</v>
      </c>
      <c r="Q511">
        <v>1</v>
      </c>
      <c r="R511">
        <v>1</v>
      </c>
      <c r="S511">
        <v>1</v>
      </c>
    </row>
    <row r="512" spans="1:19" x14ac:dyDescent="0.25">
      <c r="A512" s="1">
        <v>0.62814655092592597</v>
      </c>
      <c r="B512" t="s">
        <v>1</v>
      </c>
      <c r="C512">
        <v>511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1</v>
      </c>
      <c r="M512">
        <v>1</v>
      </c>
      <c r="N512">
        <v>1</v>
      </c>
      <c r="O512">
        <v>1</v>
      </c>
      <c r="P512">
        <v>1</v>
      </c>
      <c r="Q512">
        <v>1</v>
      </c>
      <c r="R512">
        <v>1</v>
      </c>
      <c r="S512">
        <v>1</v>
      </c>
    </row>
    <row r="513" spans="1:19" x14ac:dyDescent="0.25">
      <c r="A513" s="1">
        <v>0.62814666666666663</v>
      </c>
      <c r="B513" t="s">
        <v>1</v>
      </c>
      <c r="C513">
        <v>512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1</v>
      </c>
      <c r="M513">
        <v>1</v>
      </c>
      <c r="N513">
        <v>1</v>
      </c>
      <c r="O513">
        <v>1</v>
      </c>
      <c r="P513">
        <v>1</v>
      </c>
      <c r="Q513">
        <v>1</v>
      </c>
      <c r="R513">
        <v>1</v>
      </c>
      <c r="S513">
        <v>1</v>
      </c>
    </row>
    <row r="514" spans="1:19" x14ac:dyDescent="0.25">
      <c r="A514" s="1">
        <v>0.62814689814814817</v>
      </c>
      <c r="B514" t="s">
        <v>1</v>
      </c>
      <c r="C514">
        <v>513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1</v>
      </c>
      <c r="M514">
        <v>1</v>
      </c>
      <c r="N514">
        <v>1</v>
      </c>
      <c r="O514">
        <v>1</v>
      </c>
      <c r="P514">
        <v>1</v>
      </c>
      <c r="Q514">
        <v>1</v>
      </c>
      <c r="R514">
        <v>1</v>
      </c>
      <c r="S514">
        <v>1</v>
      </c>
    </row>
    <row r="515" spans="1:19" x14ac:dyDescent="0.25">
      <c r="A515" s="1">
        <v>0.62814701388888894</v>
      </c>
      <c r="B515" t="s">
        <v>1</v>
      </c>
      <c r="C515">
        <v>514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1</v>
      </c>
      <c r="M515">
        <v>1</v>
      </c>
      <c r="N515">
        <v>1</v>
      </c>
      <c r="O515">
        <v>1</v>
      </c>
      <c r="P515">
        <v>1</v>
      </c>
      <c r="Q515">
        <v>1</v>
      </c>
      <c r="R515">
        <v>1</v>
      </c>
      <c r="S515">
        <v>1</v>
      </c>
    </row>
    <row r="516" spans="1:19" x14ac:dyDescent="0.25">
      <c r="A516" s="1">
        <v>0.6281471296296296</v>
      </c>
      <c r="B516" t="s">
        <v>1</v>
      </c>
      <c r="C516">
        <v>515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1</v>
      </c>
      <c r="M516">
        <v>1</v>
      </c>
      <c r="N516">
        <v>1</v>
      </c>
      <c r="O516">
        <v>1</v>
      </c>
      <c r="P516">
        <v>1</v>
      </c>
      <c r="Q516">
        <v>1</v>
      </c>
      <c r="R516">
        <v>1</v>
      </c>
      <c r="S516">
        <v>1</v>
      </c>
    </row>
    <row r="517" spans="1:19" x14ac:dyDescent="0.25">
      <c r="A517" s="1">
        <v>0.62814724537037037</v>
      </c>
      <c r="B517" t="s">
        <v>1</v>
      </c>
      <c r="C517">
        <v>516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1</v>
      </c>
      <c r="M517">
        <v>1</v>
      </c>
      <c r="N517">
        <v>1</v>
      </c>
      <c r="O517">
        <v>1</v>
      </c>
      <c r="P517">
        <v>1</v>
      </c>
      <c r="Q517">
        <v>1</v>
      </c>
      <c r="R517">
        <v>1</v>
      </c>
      <c r="S517">
        <v>1</v>
      </c>
    </row>
    <row r="518" spans="1:19" x14ac:dyDescent="0.25">
      <c r="A518" s="1">
        <v>0.62814736111111114</v>
      </c>
      <c r="B518" t="s">
        <v>1</v>
      </c>
      <c r="C518">
        <v>517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1</v>
      </c>
      <c r="M518">
        <v>1</v>
      </c>
      <c r="N518">
        <v>1</v>
      </c>
      <c r="O518">
        <v>1</v>
      </c>
      <c r="P518">
        <v>1</v>
      </c>
      <c r="Q518">
        <v>1</v>
      </c>
      <c r="R518">
        <v>1</v>
      </c>
      <c r="S518">
        <v>1</v>
      </c>
    </row>
    <row r="519" spans="1:19" x14ac:dyDescent="0.25">
      <c r="A519" s="1">
        <v>0.6281474768518519</v>
      </c>
      <c r="B519" t="s">
        <v>1</v>
      </c>
      <c r="C519">
        <v>518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1</v>
      </c>
      <c r="M519">
        <v>1</v>
      </c>
      <c r="N519">
        <v>1</v>
      </c>
      <c r="O519">
        <v>1</v>
      </c>
      <c r="P519">
        <v>1</v>
      </c>
      <c r="Q519">
        <v>1</v>
      </c>
      <c r="R519">
        <v>1</v>
      </c>
      <c r="S519">
        <v>1</v>
      </c>
    </row>
    <row r="520" spans="1:19" x14ac:dyDescent="0.25">
      <c r="A520" s="1">
        <v>0.62814759259259256</v>
      </c>
      <c r="B520" t="s">
        <v>1</v>
      </c>
      <c r="C520">
        <v>519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1</v>
      </c>
      <c r="M520">
        <v>1</v>
      </c>
      <c r="N520">
        <v>1</v>
      </c>
      <c r="O520">
        <v>1</v>
      </c>
      <c r="P520">
        <v>1</v>
      </c>
      <c r="Q520">
        <v>1</v>
      </c>
      <c r="R520">
        <v>1</v>
      </c>
      <c r="S520">
        <v>1</v>
      </c>
    </row>
    <row r="521" spans="1:19" x14ac:dyDescent="0.25">
      <c r="A521" s="1">
        <v>0.62814770833333333</v>
      </c>
      <c r="B521" t="s">
        <v>1</v>
      </c>
      <c r="C521">
        <v>520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1</v>
      </c>
      <c r="M521">
        <v>1</v>
      </c>
      <c r="N521">
        <v>1</v>
      </c>
      <c r="O521">
        <v>1</v>
      </c>
      <c r="P521">
        <v>1</v>
      </c>
      <c r="Q521">
        <v>1</v>
      </c>
      <c r="R521">
        <v>1</v>
      </c>
      <c r="S521">
        <v>1</v>
      </c>
    </row>
    <row r="522" spans="1:19" x14ac:dyDescent="0.25">
      <c r="A522" s="1">
        <v>0.6281478240740741</v>
      </c>
      <c r="B522" t="s">
        <v>1</v>
      </c>
      <c r="C522">
        <v>521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1</v>
      </c>
      <c r="M522">
        <v>1</v>
      </c>
      <c r="N522">
        <v>1</v>
      </c>
      <c r="O522">
        <v>1</v>
      </c>
      <c r="P522">
        <v>1</v>
      </c>
      <c r="Q522">
        <v>1</v>
      </c>
      <c r="R522">
        <v>1</v>
      </c>
      <c r="S522">
        <v>1</v>
      </c>
    </row>
    <row r="523" spans="1:19" x14ac:dyDescent="0.25">
      <c r="A523" s="1">
        <v>0.62814793981481476</v>
      </c>
      <c r="B523" t="s">
        <v>1</v>
      </c>
      <c r="C523">
        <v>522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1</v>
      </c>
      <c r="M523">
        <v>1</v>
      </c>
      <c r="N523">
        <v>1</v>
      </c>
      <c r="O523">
        <v>1</v>
      </c>
      <c r="P523">
        <v>1</v>
      </c>
      <c r="Q523">
        <v>1</v>
      </c>
      <c r="R523">
        <v>1</v>
      </c>
      <c r="S523">
        <v>1</v>
      </c>
    </row>
    <row r="524" spans="1:19" x14ac:dyDescent="0.25">
      <c r="A524" s="1">
        <v>0.62814805555555553</v>
      </c>
      <c r="B524" t="s">
        <v>1</v>
      </c>
      <c r="C524">
        <v>523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1</v>
      </c>
      <c r="M524">
        <v>1</v>
      </c>
      <c r="N524">
        <v>1</v>
      </c>
      <c r="O524">
        <v>1</v>
      </c>
      <c r="P524">
        <v>1</v>
      </c>
      <c r="Q524">
        <v>1</v>
      </c>
      <c r="R524">
        <v>1</v>
      </c>
      <c r="S524">
        <v>1</v>
      </c>
    </row>
    <row r="525" spans="1:19" x14ac:dyDescent="0.25">
      <c r="A525" s="1">
        <v>0.6281481712962963</v>
      </c>
      <c r="B525" t="s">
        <v>1</v>
      </c>
      <c r="C525">
        <v>524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1</v>
      </c>
      <c r="M525">
        <v>1</v>
      </c>
      <c r="N525">
        <v>1</v>
      </c>
      <c r="O525">
        <v>1</v>
      </c>
      <c r="P525">
        <v>1</v>
      </c>
      <c r="Q525">
        <v>1</v>
      </c>
      <c r="R525">
        <v>1</v>
      </c>
      <c r="S525">
        <v>1</v>
      </c>
    </row>
    <row r="526" spans="1:19" x14ac:dyDescent="0.25">
      <c r="A526" s="1">
        <v>0.62814828703703707</v>
      </c>
      <c r="B526" t="s">
        <v>1</v>
      </c>
      <c r="C526">
        <v>525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1</v>
      </c>
      <c r="M526">
        <v>1</v>
      </c>
      <c r="N526">
        <v>1</v>
      </c>
      <c r="O526">
        <v>1</v>
      </c>
      <c r="P526">
        <v>1</v>
      </c>
      <c r="Q526">
        <v>1</v>
      </c>
      <c r="R526">
        <v>1</v>
      </c>
      <c r="S526">
        <v>1</v>
      </c>
    </row>
    <row r="527" spans="1:19" x14ac:dyDescent="0.25">
      <c r="A527" s="1">
        <v>0.62814840277777773</v>
      </c>
      <c r="B527" t="s">
        <v>1</v>
      </c>
      <c r="C527">
        <v>526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1</v>
      </c>
      <c r="M527">
        <v>1</v>
      </c>
      <c r="N527">
        <v>1</v>
      </c>
      <c r="O527">
        <v>1</v>
      </c>
      <c r="P527">
        <v>1</v>
      </c>
      <c r="Q527">
        <v>1</v>
      </c>
      <c r="R527">
        <v>1</v>
      </c>
      <c r="S527">
        <v>1</v>
      </c>
    </row>
    <row r="528" spans="1:19" x14ac:dyDescent="0.25">
      <c r="A528" s="1">
        <v>0.62814851851851849</v>
      </c>
      <c r="B528" t="s">
        <v>1</v>
      </c>
      <c r="C528">
        <v>527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1</v>
      </c>
      <c r="M528">
        <v>1</v>
      </c>
      <c r="N528">
        <v>1</v>
      </c>
      <c r="O528">
        <v>1</v>
      </c>
      <c r="P528">
        <v>1</v>
      </c>
      <c r="Q528">
        <v>1</v>
      </c>
      <c r="R528">
        <v>1</v>
      </c>
      <c r="S528">
        <v>1</v>
      </c>
    </row>
    <row r="529" spans="1:19" x14ac:dyDescent="0.25">
      <c r="A529" s="1">
        <v>0.62814863425925926</v>
      </c>
      <c r="B529" t="s">
        <v>1</v>
      </c>
      <c r="C529">
        <v>528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1</v>
      </c>
      <c r="M529">
        <v>1</v>
      </c>
      <c r="N529">
        <v>1</v>
      </c>
      <c r="O529">
        <v>1</v>
      </c>
      <c r="P529">
        <v>1</v>
      </c>
      <c r="Q529">
        <v>1</v>
      </c>
      <c r="R529">
        <v>1</v>
      </c>
      <c r="S529">
        <v>1</v>
      </c>
    </row>
    <row r="530" spans="1:19" x14ac:dyDescent="0.25">
      <c r="A530" s="1">
        <v>0.62814875000000003</v>
      </c>
      <c r="B530" t="s">
        <v>1</v>
      </c>
      <c r="C530">
        <v>529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1</v>
      </c>
      <c r="M530">
        <v>1</v>
      </c>
      <c r="N530">
        <v>1</v>
      </c>
      <c r="O530">
        <v>1</v>
      </c>
      <c r="P530">
        <v>1</v>
      </c>
      <c r="Q530">
        <v>1</v>
      </c>
      <c r="R530">
        <v>1</v>
      </c>
      <c r="S530">
        <v>1</v>
      </c>
    </row>
    <row r="531" spans="1:19" x14ac:dyDescent="0.25">
      <c r="A531" s="1">
        <v>0.62814886574074069</v>
      </c>
      <c r="B531" t="s">
        <v>1</v>
      </c>
      <c r="C531">
        <v>530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1</v>
      </c>
      <c r="M531">
        <v>1</v>
      </c>
      <c r="N531">
        <v>1</v>
      </c>
      <c r="O531">
        <v>1</v>
      </c>
      <c r="P531">
        <v>1</v>
      </c>
      <c r="Q531">
        <v>1</v>
      </c>
      <c r="R531">
        <v>1</v>
      </c>
      <c r="S531">
        <v>1</v>
      </c>
    </row>
    <row r="532" spans="1:19" x14ac:dyDescent="0.25">
      <c r="A532" s="1">
        <v>0.62814898148148146</v>
      </c>
      <c r="B532" t="s">
        <v>1</v>
      </c>
      <c r="C532">
        <v>531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1</v>
      </c>
      <c r="M532">
        <v>1</v>
      </c>
      <c r="N532">
        <v>1</v>
      </c>
      <c r="O532">
        <v>1</v>
      </c>
      <c r="P532">
        <v>1</v>
      </c>
      <c r="Q532">
        <v>1</v>
      </c>
      <c r="R532">
        <v>1</v>
      </c>
      <c r="S532">
        <v>1</v>
      </c>
    </row>
    <row r="533" spans="1:19" x14ac:dyDescent="0.25">
      <c r="A533" s="1">
        <v>0.62814909722222223</v>
      </c>
      <c r="B533" t="s">
        <v>1</v>
      </c>
      <c r="C533">
        <v>532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1</v>
      </c>
      <c r="M533">
        <v>1</v>
      </c>
      <c r="N533">
        <v>1</v>
      </c>
      <c r="O533">
        <v>1</v>
      </c>
      <c r="P533">
        <v>1</v>
      </c>
      <c r="Q533">
        <v>1</v>
      </c>
      <c r="R533">
        <v>1</v>
      </c>
      <c r="S533">
        <v>1</v>
      </c>
    </row>
    <row r="534" spans="1:19" x14ac:dyDescent="0.25">
      <c r="A534" s="1">
        <v>0.628149212962963</v>
      </c>
      <c r="B534" t="s">
        <v>1</v>
      </c>
      <c r="C534">
        <v>533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1</v>
      </c>
      <c r="M534">
        <v>1</v>
      </c>
      <c r="N534">
        <v>1</v>
      </c>
      <c r="O534">
        <v>1</v>
      </c>
      <c r="P534">
        <v>1</v>
      </c>
      <c r="Q534">
        <v>1</v>
      </c>
      <c r="R534">
        <v>1</v>
      </c>
      <c r="S534">
        <v>1</v>
      </c>
    </row>
    <row r="535" spans="1:19" x14ac:dyDescent="0.25">
      <c r="A535" s="1">
        <v>0.62814932870370366</v>
      </c>
      <c r="B535" t="s">
        <v>1</v>
      </c>
      <c r="C535">
        <v>534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1</v>
      </c>
      <c r="M535">
        <v>1</v>
      </c>
      <c r="N535">
        <v>1</v>
      </c>
      <c r="O535">
        <v>1</v>
      </c>
      <c r="P535">
        <v>1</v>
      </c>
      <c r="Q535">
        <v>1</v>
      </c>
      <c r="R535">
        <v>1</v>
      </c>
      <c r="S535">
        <v>1</v>
      </c>
    </row>
    <row r="536" spans="1:19" x14ac:dyDescent="0.25">
      <c r="A536" s="1">
        <v>0.62814944444444443</v>
      </c>
      <c r="B536" t="s">
        <v>1</v>
      </c>
      <c r="C536">
        <v>535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1</v>
      </c>
      <c r="M536">
        <v>1</v>
      </c>
      <c r="N536">
        <v>1</v>
      </c>
      <c r="O536">
        <v>1</v>
      </c>
      <c r="P536">
        <v>1</v>
      </c>
      <c r="Q536">
        <v>1</v>
      </c>
      <c r="R536">
        <v>1</v>
      </c>
      <c r="S536">
        <v>1</v>
      </c>
    </row>
    <row r="537" spans="1:19" x14ac:dyDescent="0.25">
      <c r="A537" s="1">
        <v>0.62814954861111116</v>
      </c>
      <c r="B537" t="s">
        <v>1</v>
      </c>
      <c r="C537">
        <v>536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1</v>
      </c>
      <c r="M537">
        <v>1</v>
      </c>
      <c r="N537">
        <v>1</v>
      </c>
      <c r="O537">
        <v>1</v>
      </c>
      <c r="P537">
        <v>1</v>
      </c>
      <c r="Q537">
        <v>1</v>
      </c>
      <c r="R537">
        <v>1</v>
      </c>
      <c r="S537">
        <v>1</v>
      </c>
    </row>
    <row r="538" spans="1:19" x14ac:dyDescent="0.25">
      <c r="A538" s="1">
        <v>0.62814967592592597</v>
      </c>
      <c r="B538" t="s">
        <v>1</v>
      </c>
      <c r="C538">
        <v>537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1</v>
      </c>
      <c r="Q538">
        <v>1</v>
      </c>
      <c r="R538">
        <v>1</v>
      </c>
      <c r="S538">
        <v>1</v>
      </c>
    </row>
    <row r="539" spans="1:19" x14ac:dyDescent="0.25">
      <c r="A539" s="1">
        <v>0.62814979166666662</v>
      </c>
      <c r="B539" t="s">
        <v>1</v>
      </c>
      <c r="C539">
        <v>538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1</v>
      </c>
      <c r="M539">
        <v>1</v>
      </c>
      <c r="N539">
        <v>1</v>
      </c>
      <c r="O539">
        <v>1</v>
      </c>
      <c r="P539">
        <v>1</v>
      </c>
      <c r="Q539">
        <v>1</v>
      </c>
      <c r="R539">
        <v>1</v>
      </c>
      <c r="S539">
        <v>1</v>
      </c>
    </row>
    <row r="540" spans="1:19" x14ac:dyDescent="0.25">
      <c r="A540" s="1">
        <v>0.62814990740740739</v>
      </c>
      <c r="B540" t="s">
        <v>1</v>
      </c>
      <c r="C540">
        <v>539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1</v>
      </c>
      <c r="M540">
        <v>1</v>
      </c>
      <c r="N540">
        <v>1</v>
      </c>
      <c r="O540">
        <v>1</v>
      </c>
      <c r="P540">
        <v>1</v>
      </c>
      <c r="Q540">
        <v>1</v>
      </c>
      <c r="R540">
        <v>1</v>
      </c>
      <c r="S540">
        <v>1</v>
      </c>
    </row>
    <row r="541" spans="1:19" x14ac:dyDescent="0.25">
      <c r="A541" s="1">
        <v>0.62815002314814816</v>
      </c>
      <c r="B541" t="s">
        <v>1</v>
      </c>
      <c r="C541">
        <v>540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1</v>
      </c>
      <c r="M541">
        <v>1</v>
      </c>
      <c r="N541">
        <v>1</v>
      </c>
      <c r="O541">
        <v>1</v>
      </c>
      <c r="P541">
        <v>1</v>
      </c>
      <c r="Q541">
        <v>1</v>
      </c>
      <c r="R541">
        <v>1</v>
      </c>
      <c r="S541">
        <v>1</v>
      </c>
    </row>
    <row r="542" spans="1:19" x14ac:dyDescent="0.25">
      <c r="A542" s="1">
        <v>0.62815013888888893</v>
      </c>
      <c r="B542" t="s">
        <v>1</v>
      </c>
      <c r="C542">
        <v>541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1</v>
      </c>
      <c r="M542">
        <v>1</v>
      </c>
      <c r="N542">
        <v>1</v>
      </c>
      <c r="O542">
        <v>1</v>
      </c>
      <c r="P542">
        <v>1</v>
      </c>
      <c r="Q542">
        <v>1</v>
      </c>
      <c r="R542">
        <v>1</v>
      </c>
      <c r="S542">
        <v>1</v>
      </c>
    </row>
    <row r="543" spans="1:19" x14ac:dyDescent="0.25">
      <c r="A543" s="1">
        <v>0.62815025462962959</v>
      </c>
      <c r="B543" t="s">
        <v>1</v>
      </c>
      <c r="C543">
        <v>542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1</v>
      </c>
      <c r="M543">
        <v>1</v>
      </c>
      <c r="N543">
        <v>1</v>
      </c>
      <c r="O543">
        <v>1</v>
      </c>
      <c r="P543">
        <v>1</v>
      </c>
      <c r="Q543">
        <v>1</v>
      </c>
      <c r="R543">
        <v>1</v>
      </c>
      <c r="S543">
        <v>1</v>
      </c>
    </row>
    <row r="544" spans="1:19" x14ac:dyDescent="0.25">
      <c r="A544" s="1">
        <v>0.62815037037037036</v>
      </c>
      <c r="B544" t="s">
        <v>1</v>
      </c>
      <c r="C544">
        <v>543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1</v>
      </c>
      <c r="M544">
        <v>1</v>
      </c>
      <c r="N544">
        <v>1</v>
      </c>
      <c r="O544">
        <v>1</v>
      </c>
      <c r="P544">
        <v>1</v>
      </c>
      <c r="Q544">
        <v>1</v>
      </c>
      <c r="R544">
        <v>1</v>
      </c>
      <c r="S544">
        <v>1</v>
      </c>
    </row>
    <row r="545" spans="1:19" x14ac:dyDescent="0.25">
      <c r="A545" s="1">
        <v>0.62815048611111113</v>
      </c>
      <c r="B545" t="s">
        <v>1</v>
      </c>
      <c r="C545">
        <v>544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1</v>
      </c>
      <c r="M545">
        <v>1</v>
      </c>
      <c r="N545">
        <v>1</v>
      </c>
      <c r="O545">
        <v>1</v>
      </c>
      <c r="P545">
        <v>1</v>
      </c>
      <c r="Q545">
        <v>1</v>
      </c>
      <c r="R545">
        <v>1</v>
      </c>
      <c r="S545">
        <v>1</v>
      </c>
    </row>
    <row r="546" spans="1:19" x14ac:dyDescent="0.25">
      <c r="A546" s="1">
        <v>0.62815059027777775</v>
      </c>
      <c r="B546" t="s">
        <v>1</v>
      </c>
      <c r="C546">
        <v>545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1</v>
      </c>
      <c r="M546">
        <v>1</v>
      </c>
      <c r="N546">
        <v>1</v>
      </c>
      <c r="O546">
        <v>1</v>
      </c>
      <c r="P546">
        <v>1</v>
      </c>
      <c r="Q546">
        <v>1</v>
      </c>
      <c r="R546">
        <v>1</v>
      </c>
      <c r="S546">
        <v>1</v>
      </c>
    </row>
    <row r="547" spans="1:19" x14ac:dyDescent="0.25">
      <c r="A547" s="1">
        <v>0.62815071759259256</v>
      </c>
      <c r="B547" t="s">
        <v>1</v>
      </c>
      <c r="C547">
        <v>546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1</v>
      </c>
      <c r="M547">
        <v>1</v>
      </c>
      <c r="N547">
        <v>1</v>
      </c>
      <c r="O547">
        <v>1</v>
      </c>
      <c r="P547">
        <v>1</v>
      </c>
      <c r="Q547">
        <v>1</v>
      </c>
      <c r="R547">
        <v>1</v>
      </c>
      <c r="S547">
        <v>1</v>
      </c>
    </row>
    <row r="548" spans="1:19" x14ac:dyDescent="0.25">
      <c r="A548" s="1">
        <v>0.62815082175925929</v>
      </c>
      <c r="B548" t="s">
        <v>1</v>
      </c>
      <c r="C548">
        <v>547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1</v>
      </c>
      <c r="M548">
        <v>1</v>
      </c>
      <c r="N548">
        <v>1</v>
      </c>
      <c r="O548">
        <v>1</v>
      </c>
      <c r="P548">
        <v>1</v>
      </c>
      <c r="Q548">
        <v>1</v>
      </c>
      <c r="R548">
        <v>1</v>
      </c>
      <c r="S548">
        <v>1</v>
      </c>
    </row>
    <row r="549" spans="1:19" x14ac:dyDescent="0.25">
      <c r="A549" s="1">
        <v>0.62815094907407409</v>
      </c>
      <c r="B549" t="s">
        <v>1</v>
      </c>
      <c r="C549">
        <v>548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1</v>
      </c>
      <c r="M549">
        <v>1</v>
      </c>
      <c r="N549">
        <v>1</v>
      </c>
      <c r="O549">
        <v>1</v>
      </c>
      <c r="P549">
        <v>1</v>
      </c>
      <c r="Q549">
        <v>1</v>
      </c>
      <c r="R549">
        <v>1</v>
      </c>
      <c r="S549">
        <v>1</v>
      </c>
    </row>
    <row r="550" spans="1:19" x14ac:dyDescent="0.25">
      <c r="A550" s="1">
        <v>0.62815106481481486</v>
      </c>
      <c r="B550" t="s">
        <v>1</v>
      </c>
      <c r="C550">
        <v>549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1</v>
      </c>
      <c r="M550">
        <v>1</v>
      </c>
      <c r="N550">
        <v>1</v>
      </c>
      <c r="O550">
        <v>1</v>
      </c>
      <c r="P550">
        <v>1</v>
      </c>
      <c r="Q550">
        <v>1</v>
      </c>
      <c r="R550">
        <v>1</v>
      </c>
      <c r="S550">
        <v>1</v>
      </c>
    </row>
    <row r="551" spans="1:19" x14ac:dyDescent="0.25">
      <c r="A551" s="1">
        <v>0.62815118055555552</v>
      </c>
      <c r="B551" t="s">
        <v>1</v>
      </c>
      <c r="C551">
        <v>550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1</v>
      </c>
      <c r="M551">
        <v>1</v>
      </c>
      <c r="N551">
        <v>1</v>
      </c>
      <c r="O551">
        <v>1</v>
      </c>
      <c r="P551">
        <v>1</v>
      </c>
      <c r="Q551">
        <v>1</v>
      </c>
      <c r="R551">
        <v>1</v>
      </c>
      <c r="S551">
        <v>1</v>
      </c>
    </row>
    <row r="552" spans="1:19" x14ac:dyDescent="0.25">
      <c r="A552" s="1">
        <v>0.62815128472222226</v>
      </c>
      <c r="B552" t="s">
        <v>1</v>
      </c>
      <c r="C552">
        <v>551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1</v>
      </c>
      <c r="M552">
        <v>1</v>
      </c>
      <c r="N552">
        <v>1</v>
      </c>
      <c r="O552">
        <v>1</v>
      </c>
      <c r="P552">
        <v>1</v>
      </c>
      <c r="Q552">
        <v>1</v>
      </c>
      <c r="R552">
        <v>1</v>
      </c>
      <c r="S552">
        <v>1</v>
      </c>
    </row>
    <row r="553" spans="1:19" x14ac:dyDescent="0.25">
      <c r="A553" s="1">
        <v>0.62815140046296292</v>
      </c>
      <c r="B553" t="s">
        <v>1</v>
      </c>
      <c r="C553">
        <v>552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1</v>
      </c>
      <c r="M553">
        <v>1</v>
      </c>
      <c r="N553">
        <v>1</v>
      </c>
      <c r="O553">
        <v>1</v>
      </c>
      <c r="P553">
        <v>1</v>
      </c>
      <c r="Q553">
        <v>1</v>
      </c>
      <c r="R553">
        <v>1</v>
      </c>
      <c r="S553">
        <v>1</v>
      </c>
    </row>
    <row r="554" spans="1:19" x14ac:dyDescent="0.25">
      <c r="A554" s="1">
        <v>0.62815152777777783</v>
      </c>
      <c r="B554" t="s">
        <v>2</v>
      </c>
      <c r="C554">
        <v>553</v>
      </c>
      <c r="D554">
        <v>0</v>
      </c>
      <c r="E554">
        <v>1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1</v>
      </c>
      <c r="M554">
        <v>1</v>
      </c>
      <c r="N554">
        <v>1</v>
      </c>
      <c r="O554">
        <v>1</v>
      </c>
      <c r="P554">
        <v>1</v>
      </c>
      <c r="Q554">
        <v>1</v>
      </c>
      <c r="R554">
        <v>1</v>
      </c>
      <c r="S554">
        <v>1</v>
      </c>
    </row>
    <row r="555" spans="1:19" x14ac:dyDescent="0.25">
      <c r="A555" s="1">
        <v>0.62815163194444446</v>
      </c>
      <c r="B555" t="s">
        <v>2</v>
      </c>
      <c r="C555">
        <v>554</v>
      </c>
      <c r="D555">
        <v>0</v>
      </c>
      <c r="E555">
        <v>1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1</v>
      </c>
      <c r="M555">
        <v>1</v>
      </c>
      <c r="N555">
        <v>1</v>
      </c>
      <c r="O555">
        <v>1</v>
      </c>
      <c r="P555">
        <v>1</v>
      </c>
      <c r="Q555">
        <v>1</v>
      </c>
      <c r="R555">
        <v>1</v>
      </c>
      <c r="S555">
        <v>1</v>
      </c>
    </row>
    <row r="556" spans="1:19" x14ac:dyDescent="0.25">
      <c r="A556" s="1">
        <v>0.62815175925925926</v>
      </c>
      <c r="B556" t="s">
        <v>2</v>
      </c>
      <c r="C556">
        <v>555</v>
      </c>
      <c r="D556">
        <v>0</v>
      </c>
      <c r="E556">
        <v>1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1</v>
      </c>
      <c r="M556">
        <v>1</v>
      </c>
      <c r="N556">
        <v>1</v>
      </c>
      <c r="O556">
        <v>1</v>
      </c>
      <c r="P556">
        <v>1</v>
      </c>
      <c r="Q556">
        <v>1</v>
      </c>
      <c r="R556">
        <v>1</v>
      </c>
      <c r="S556">
        <v>1</v>
      </c>
    </row>
    <row r="557" spans="1:19" x14ac:dyDescent="0.25">
      <c r="A557" s="1">
        <v>0.62815187500000003</v>
      </c>
      <c r="B557" t="s">
        <v>2</v>
      </c>
      <c r="C557">
        <v>556</v>
      </c>
      <c r="D557">
        <v>0</v>
      </c>
      <c r="E557">
        <v>1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1</v>
      </c>
      <c r="M557">
        <v>1</v>
      </c>
      <c r="N557">
        <v>1</v>
      </c>
      <c r="O557">
        <v>1</v>
      </c>
      <c r="P557">
        <v>1</v>
      </c>
      <c r="Q557">
        <v>1</v>
      </c>
      <c r="R557">
        <v>1</v>
      </c>
      <c r="S557">
        <v>1</v>
      </c>
    </row>
    <row r="558" spans="1:19" x14ac:dyDescent="0.25">
      <c r="A558" s="1">
        <v>0.62815197916666665</v>
      </c>
      <c r="B558" t="s">
        <v>2</v>
      </c>
      <c r="C558">
        <v>557</v>
      </c>
      <c r="D558">
        <v>0</v>
      </c>
      <c r="E558">
        <v>1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1</v>
      </c>
      <c r="M558">
        <v>1</v>
      </c>
      <c r="N558">
        <v>1</v>
      </c>
      <c r="O558">
        <v>1</v>
      </c>
      <c r="P558">
        <v>1</v>
      </c>
      <c r="Q558">
        <v>1</v>
      </c>
      <c r="R558">
        <v>1</v>
      </c>
      <c r="S558">
        <v>1</v>
      </c>
    </row>
    <row r="559" spans="1:19" x14ac:dyDescent="0.25">
      <c r="A559" s="1">
        <v>0.62815209490740742</v>
      </c>
      <c r="B559" t="s">
        <v>2</v>
      </c>
      <c r="C559">
        <v>558</v>
      </c>
      <c r="D559">
        <v>0</v>
      </c>
      <c r="E559">
        <v>1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1</v>
      </c>
      <c r="M559">
        <v>1</v>
      </c>
      <c r="N559">
        <v>1</v>
      </c>
      <c r="O559">
        <v>1</v>
      </c>
      <c r="P559">
        <v>1</v>
      </c>
      <c r="Q559">
        <v>1</v>
      </c>
      <c r="R559">
        <v>1</v>
      </c>
      <c r="S559">
        <v>1</v>
      </c>
    </row>
    <row r="560" spans="1:19" x14ac:dyDescent="0.25">
      <c r="A560" s="1">
        <v>0.62815221064814819</v>
      </c>
      <c r="B560" t="s">
        <v>2</v>
      </c>
      <c r="C560">
        <v>559</v>
      </c>
      <c r="D560">
        <v>0</v>
      </c>
      <c r="E560">
        <v>1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1</v>
      </c>
      <c r="M560">
        <v>1</v>
      </c>
      <c r="N560">
        <v>1</v>
      </c>
      <c r="O560">
        <v>1</v>
      </c>
      <c r="P560">
        <v>1</v>
      </c>
      <c r="Q560">
        <v>1</v>
      </c>
      <c r="R560">
        <v>1</v>
      </c>
      <c r="S560">
        <v>1</v>
      </c>
    </row>
    <row r="561" spans="1:19" x14ac:dyDescent="0.25">
      <c r="A561" s="1">
        <v>0.62815232638888885</v>
      </c>
      <c r="B561" t="s">
        <v>1</v>
      </c>
      <c r="C561">
        <v>560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1</v>
      </c>
      <c r="M561">
        <v>1</v>
      </c>
      <c r="N561">
        <v>1</v>
      </c>
      <c r="O561">
        <v>1</v>
      </c>
      <c r="P561">
        <v>1</v>
      </c>
      <c r="Q561">
        <v>1</v>
      </c>
      <c r="R561">
        <v>1</v>
      </c>
      <c r="S561">
        <v>1</v>
      </c>
    </row>
    <row r="562" spans="1:19" x14ac:dyDescent="0.25">
      <c r="A562" s="1">
        <v>0.62815244212962962</v>
      </c>
      <c r="B562" t="s">
        <v>1</v>
      </c>
      <c r="C562">
        <v>561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1</v>
      </c>
      <c r="M562">
        <v>1</v>
      </c>
      <c r="N562">
        <v>1</v>
      </c>
      <c r="O562">
        <v>1</v>
      </c>
      <c r="P562">
        <v>1</v>
      </c>
      <c r="Q562">
        <v>1</v>
      </c>
      <c r="R562">
        <v>1</v>
      </c>
      <c r="S562">
        <v>1</v>
      </c>
    </row>
    <row r="563" spans="1:19" x14ac:dyDescent="0.25">
      <c r="A563" s="1">
        <v>0.62815255787037039</v>
      </c>
      <c r="B563" t="s">
        <v>1</v>
      </c>
      <c r="C563">
        <v>562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1</v>
      </c>
      <c r="M563">
        <v>1</v>
      </c>
      <c r="N563">
        <v>1</v>
      </c>
      <c r="O563">
        <v>1</v>
      </c>
      <c r="P563">
        <v>1</v>
      </c>
      <c r="Q563">
        <v>1</v>
      </c>
      <c r="R563">
        <v>1</v>
      </c>
      <c r="S563">
        <v>1</v>
      </c>
    </row>
    <row r="564" spans="1:19" x14ac:dyDescent="0.25">
      <c r="A564" s="1">
        <v>0.62815267361111116</v>
      </c>
      <c r="B564" t="s">
        <v>1</v>
      </c>
      <c r="C564">
        <v>563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1</v>
      </c>
      <c r="M564">
        <v>1</v>
      </c>
      <c r="N564">
        <v>1</v>
      </c>
      <c r="O564">
        <v>1</v>
      </c>
      <c r="P564">
        <v>1</v>
      </c>
      <c r="Q564">
        <v>1</v>
      </c>
      <c r="R564">
        <v>1</v>
      </c>
      <c r="S564">
        <v>1</v>
      </c>
    </row>
    <row r="565" spans="1:19" x14ac:dyDescent="0.25">
      <c r="A565" s="1">
        <v>0.62815278935185181</v>
      </c>
      <c r="B565" t="s">
        <v>1</v>
      </c>
      <c r="C565">
        <v>564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1</v>
      </c>
      <c r="M565">
        <v>1</v>
      </c>
      <c r="N565">
        <v>1</v>
      </c>
      <c r="O565">
        <v>1</v>
      </c>
      <c r="P565">
        <v>1</v>
      </c>
      <c r="Q565">
        <v>1</v>
      </c>
      <c r="R565">
        <v>1</v>
      </c>
      <c r="S565">
        <v>1</v>
      </c>
    </row>
    <row r="566" spans="1:19" x14ac:dyDescent="0.25">
      <c r="A566" s="1">
        <v>0.62815290509259258</v>
      </c>
      <c r="B566" t="s">
        <v>1</v>
      </c>
      <c r="C566">
        <v>565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1</v>
      </c>
      <c r="M566">
        <v>1</v>
      </c>
      <c r="N566">
        <v>1</v>
      </c>
      <c r="O566">
        <v>1</v>
      </c>
      <c r="P566">
        <v>1</v>
      </c>
      <c r="Q566">
        <v>1</v>
      </c>
      <c r="R566">
        <v>1</v>
      </c>
      <c r="S566">
        <v>1</v>
      </c>
    </row>
    <row r="567" spans="1:19" x14ac:dyDescent="0.25">
      <c r="A567" s="1">
        <v>0.62815302083333335</v>
      </c>
      <c r="B567" t="s">
        <v>1</v>
      </c>
      <c r="C567">
        <v>566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1</v>
      </c>
      <c r="M567">
        <v>1</v>
      </c>
      <c r="N567">
        <v>1</v>
      </c>
      <c r="O567">
        <v>1</v>
      </c>
      <c r="P567">
        <v>1</v>
      </c>
      <c r="Q567">
        <v>1</v>
      </c>
      <c r="R567">
        <v>1</v>
      </c>
      <c r="S567">
        <v>1</v>
      </c>
    </row>
    <row r="568" spans="1:19" x14ac:dyDescent="0.25">
      <c r="A568" s="1">
        <v>0.62815313657407412</v>
      </c>
      <c r="B568" t="s">
        <v>1</v>
      </c>
      <c r="C568">
        <v>567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1</v>
      </c>
      <c r="M568">
        <v>1</v>
      </c>
      <c r="N568">
        <v>1</v>
      </c>
      <c r="O568">
        <v>1</v>
      </c>
      <c r="P568">
        <v>1</v>
      </c>
      <c r="Q568">
        <v>1</v>
      </c>
      <c r="R568">
        <v>1</v>
      </c>
      <c r="S568">
        <v>1</v>
      </c>
    </row>
    <row r="569" spans="1:19" x14ac:dyDescent="0.25">
      <c r="A569" s="1">
        <v>0.62815325231481478</v>
      </c>
      <c r="B569" t="s">
        <v>1</v>
      </c>
      <c r="C569">
        <v>568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1</v>
      </c>
      <c r="M569">
        <v>1</v>
      </c>
      <c r="N569">
        <v>1</v>
      </c>
      <c r="O569">
        <v>1</v>
      </c>
      <c r="P569">
        <v>1</v>
      </c>
      <c r="Q569">
        <v>1</v>
      </c>
      <c r="R569">
        <v>1</v>
      </c>
      <c r="S569">
        <v>1</v>
      </c>
    </row>
    <row r="570" spans="1:19" x14ac:dyDescent="0.25">
      <c r="A570" s="1">
        <v>0.62815336805555555</v>
      </c>
      <c r="B570" t="s">
        <v>1</v>
      </c>
      <c r="C570">
        <v>569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1</v>
      </c>
      <c r="M570">
        <v>1</v>
      </c>
      <c r="N570">
        <v>1</v>
      </c>
      <c r="O570">
        <v>1</v>
      </c>
      <c r="P570">
        <v>1</v>
      </c>
      <c r="Q570">
        <v>1</v>
      </c>
      <c r="R570">
        <v>1</v>
      </c>
      <c r="S570">
        <v>1</v>
      </c>
    </row>
    <row r="571" spans="1:19" x14ac:dyDescent="0.25">
      <c r="A571" s="1">
        <v>0.62815348379629632</v>
      </c>
      <c r="B571" t="s">
        <v>1</v>
      </c>
      <c r="C571">
        <v>570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1</v>
      </c>
      <c r="M571">
        <v>1</v>
      </c>
      <c r="N571">
        <v>1</v>
      </c>
      <c r="O571">
        <v>1</v>
      </c>
      <c r="P571">
        <v>1</v>
      </c>
      <c r="Q571">
        <v>1</v>
      </c>
      <c r="R571">
        <v>1</v>
      </c>
      <c r="S571">
        <v>1</v>
      </c>
    </row>
    <row r="572" spans="1:19" x14ac:dyDescent="0.25">
      <c r="A572" s="1">
        <v>0.62815359953703709</v>
      </c>
      <c r="B572" t="s">
        <v>1</v>
      </c>
      <c r="C572">
        <v>571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1</v>
      </c>
      <c r="M572">
        <v>1</v>
      </c>
      <c r="N572">
        <v>1</v>
      </c>
      <c r="O572">
        <v>1</v>
      </c>
      <c r="P572">
        <v>1</v>
      </c>
      <c r="Q572">
        <v>1</v>
      </c>
      <c r="R572">
        <v>1</v>
      </c>
      <c r="S572">
        <v>1</v>
      </c>
    </row>
    <row r="573" spans="1:19" x14ac:dyDescent="0.25">
      <c r="A573" s="1">
        <v>0.62815371527777775</v>
      </c>
      <c r="B573" t="s">
        <v>1</v>
      </c>
      <c r="C573">
        <v>572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1</v>
      </c>
      <c r="M573">
        <v>1</v>
      </c>
      <c r="N573">
        <v>1</v>
      </c>
      <c r="O573">
        <v>1</v>
      </c>
      <c r="P573">
        <v>1</v>
      </c>
      <c r="Q573">
        <v>1</v>
      </c>
      <c r="R573">
        <v>1</v>
      </c>
      <c r="S573">
        <v>1</v>
      </c>
    </row>
    <row r="574" spans="1:19" x14ac:dyDescent="0.25">
      <c r="A574" s="1">
        <v>0.62815383101851852</v>
      </c>
      <c r="B574" t="s">
        <v>1</v>
      </c>
      <c r="C574">
        <v>573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1</v>
      </c>
      <c r="M574">
        <v>1</v>
      </c>
      <c r="N574">
        <v>1</v>
      </c>
      <c r="O574">
        <v>1</v>
      </c>
      <c r="P574">
        <v>1</v>
      </c>
      <c r="Q574">
        <v>1</v>
      </c>
      <c r="R574">
        <v>1</v>
      </c>
      <c r="S574">
        <v>1</v>
      </c>
    </row>
    <row r="575" spans="1:19" x14ac:dyDescent="0.25">
      <c r="A575" s="1">
        <v>0.62815394675925929</v>
      </c>
      <c r="B575" t="s">
        <v>1</v>
      </c>
      <c r="C575">
        <v>574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1</v>
      </c>
      <c r="M575">
        <v>1</v>
      </c>
      <c r="N575">
        <v>1</v>
      </c>
      <c r="O575">
        <v>1</v>
      </c>
      <c r="P575">
        <v>1</v>
      </c>
      <c r="Q575">
        <v>1</v>
      </c>
      <c r="R575">
        <v>1</v>
      </c>
      <c r="S575">
        <v>1</v>
      </c>
    </row>
    <row r="576" spans="1:19" x14ac:dyDescent="0.25">
      <c r="A576" s="1">
        <v>0.62815406250000005</v>
      </c>
      <c r="B576" t="s">
        <v>1</v>
      </c>
      <c r="C576">
        <v>575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1</v>
      </c>
      <c r="M576">
        <v>1</v>
      </c>
      <c r="N576">
        <v>1</v>
      </c>
      <c r="O576">
        <v>1</v>
      </c>
      <c r="P576">
        <v>1</v>
      </c>
      <c r="Q576">
        <v>1</v>
      </c>
      <c r="R576">
        <v>1</v>
      </c>
      <c r="S576">
        <v>1</v>
      </c>
    </row>
    <row r="577" spans="1:19" x14ac:dyDescent="0.25">
      <c r="A577" s="1">
        <v>0.62815417824074071</v>
      </c>
      <c r="B577" t="s">
        <v>1</v>
      </c>
      <c r="C577">
        <v>576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1</v>
      </c>
      <c r="M577">
        <v>1</v>
      </c>
      <c r="N577">
        <v>1</v>
      </c>
      <c r="O577">
        <v>1</v>
      </c>
      <c r="P577">
        <v>1</v>
      </c>
      <c r="Q577">
        <v>1</v>
      </c>
      <c r="R577">
        <v>1</v>
      </c>
      <c r="S577">
        <v>1</v>
      </c>
    </row>
    <row r="578" spans="1:19" x14ac:dyDescent="0.25">
      <c r="A578" s="1">
        <v>0.62815429398148148</v>
      </c>
      <c r="B578" t="s">
        <v>1</v>
      </c>
      <c r="C578">
        <v>577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1</v>
      </c>
      <c r="M578">
        <v>1</v>
      </c>
      <c r="N578">
        <v>1</v>
      </c>
      <c r="O578">
        <v>1</v>
      </c>
      <c r="P578">
        <v>1</v>
      </c>
      <c r="Q578">
        <v>1</v>
      </c>
      <c r="R578">
        <v>1</v>
      </c>
      <c r="S578">
        <v>1</v>
      </c>
    </row>
    <row r="579" spans="1:19" x14ac:dyDescent="0.25">
      <c r="A579" s="1">
        <v>0.62815440972222225</v>
      </c>
      <c r="B579" t="s">
        <v>1</v>
      </c>
      <c r="C579">
        <v>578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1</v>
      </c>
      <c r="M579">
        <v>1</v>
      </c>
      <c r="N579">
        <v>1</v>
      </c>
      <c r="O579">
        <v>1</v>
      </c>
      <c r="P579">
        <v>1</v>
      </c>
      <c r="Q579">
        <v>1</v>
      </c>
      <c r="R579">
        <v>1</v>
      </c>
      <c r="S579">
        <v>1</v>
      </c>
    </row>
    <row r="580" spans="1:19" x14ac:dyDescent="0.25">
      <c r="A580" s="1">
        <v>0.62815452546296291</v>
      </c>
      <c r="B580" t="s">
        <v>1</v>
      </c>
      <c r="C580">
        <v>579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1</v>
      </c>
      <c r="M580">
        <v>1</v>
      </c>
      <c r="N580">
        <v>1</v>
      </c>
      <c r="O580">
        <v>1</v>
      </c>
      <c r="P580">
        <v>1</v>
      </c>
      <c r="Q580">
        <v>1</v>
      </c>
      <c r="R580">
        <v>1</v>
      </c>
      <c r="S580">
        <v>1</v>
      </c>
    </row>
    <row r="581" spans="1:19" x14ac:dyDescent="0.25">
      <c r="A581" s="1">
        <v>0.62815464120370368</v>
      </c>
      <c r="B581" t="s">
        <v>1</v>
      </c>
      <c r="C581">
        <v>580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1</v>
      </c>
      <c r="M581">
        <v>1</v>
      </c>
      <c r="N581">
        <v>1</v>
      </c>
      <c r="O581">
        <v>1</v>
      </c>
      <c r="P581">
        <v>1</v>
      </c>
      <c r="Q581">
        <v>1</v>
      </c>
      <c r="R581">
        <v>1</v>
      </c>
      <c r="S581">
        <v>1</v>
      </c>
    </row>
    <row r="582" spans="1:19" x14ac:dyDescent="0.25">
      <c r="A582" s="1">
        <v>0.62815475694444445</v>
      </c>
      <c r="B582" t="s">
        <v>1</v>
      </c>
      <c r="C582">
        <v>581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1</v>
      </c>
      <c r="M582">
        <v>1</v>
      </c>
      <c r="N582">
        <v>1</v>
      </c>
      <c r="O582">
        <v>1</v>
      </c>
      <c r="P582">
        <v>1</v>
      </c>
      <c r="Q582">
        <v>1</v>
      </c>
      <c r="R582">
        <v>1</v>
      </c>
      <c r="S582">
        <v>1</v>
      </c>
    </row>
    <row r="583" spans="1:19" x14ac:dyDescent="0.25">
      <c r="A583" s="1">
        <v>0.62815487268518522</v>
      </c>
      <c r="B583" t="s">
        <v>1</v>
      </c>
      <c r="C583">
        <v>582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1</v>
      </c>
      <c r="M583">
        <v>1</v>
      </c>
      <c r="N583">
        <v>1</v>
      </c>
      <c r="O583">
        <v>1</v>
      </c>
      <c r="P583">
        <v>1</v>
      </c>
      <c r="Q583">
        <v>1</v>
      </c>
      <c r="R583">
        <v>1</v>
      </c>
      <c r="S583">
        <v>1</v>
      </c>
    </row>
    <row r="584" spans="1:19" x14ac:dyDescent="0.25">
      <c r="A584" s="1">
        <v>0.62815498842592588</v>
      </c>
      <c r="B584" t="s">
        <v>1</v>
      </c>
      <c r="C584">
        <v>583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1</v>
      </c>
      <c r="M584">
        <v>1</v>
      </c>
      <c r="N584">
        <v>1</v>
      </c>
      <c r="O584">
        <v>1</v>
      </c>
      <c r="P584">
        <v>1</v>
      </c>
      <c r="Q584">
        <v>1</v>
      </c>
      <c r="R584">
        <v>1</v>
      </c>
      <c r="S584">
        <v>1</v>
      </c>
    </row>
    <row r="585" spans="1:19" x14ac:dyDescent="0.25">
      <c r="A585" s="1">
        <v>0.62815510416666664</v>
      </c>
      <c r="B585" t="s">
        <v>1</v>
      </c>
      <c r="C585">
        <v>584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1</v>
      </c>
      <c r="M585">
        <v>1</v>
      </c>
      <c r="N585">
        <v>1</v>
      </c>
      <c r="O585">
        <v>1</v>
      </c>
      <c r="P585">
        <v>1</v>
      </c>
      <c r="Q585">
        <v>1</v>
      </c>
      <c r="R585">
        <v>1</v>
      </c>
      <c r="S585">
        <v>1</v>
      </c>
    </row>
    <row r="586" spans="1:19" x14ac:dyDescent="0.25">
      <c r="A586" s="1">
        <v>0.62815521990740741</v>
      </c>
      <c r="B586" t="s">
        <v>1</v>
      </c>
      <c r="C586">
        <v>585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1</v>
      </c>
      <c r="M586">
        <v>1</v>
      </c>
      <c r="N586">
        <v>1</v>
      </c>
      <c r="O586">
        <v>1</v>
      </c>
      <c r="P586">
        <v>1</v>
      </c>
      <c r="Q586">
        <v>1</v>
      </c>
      <c r="R586">
        <v>1</v>
      </c>
      <c r="S586">
        <v>1</v>
      </c>
    </row>
    <row r="587" spans="1:19" x14ac:dyDescent="0.25">
      <c r="A587" s="1">
        <v>0.62815533564814818</v>
      </c>
      <c r="B587" t="s">
        <v>1</v>
      </c>
      <c r="C587">
        <v>586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1</v>
      </c>
      <c r="M587">
        <v>1</v>
      </c>
      <c r="N587">
        <v>1</v>
      </c>
      <c r="O587">
        <v>1</v>
      </c>
      <c r="P587">
        <v>1</v>
      </c>
      <c r="Q587">
        <v>1</v>
      </c>
      <c r="R587">
        <v>1</v>
      </c>
      <c r="S587">
        <v>1</v>
      </c>
    </row>
    <row r="588" spans="1:19" x14ac:dyDescent="0.25">
      <c r="A588" s="1">
        <v>0.62815545138888884</v>
      </c>
      <c r="B588" t="s">
        <v>1</v>
      </c>
      <c r="C588">
        <v>587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1</v>
      </c>
      <c r="M588">
        <v>1</v>
      </c>
      <c r="N588">
        <v>1</v>
      </c>
      <c r="O588">
        <v>1</v>
      </c>
      <c r="P588">
        <v>1</v>
      </c>
      <c r="Q588">
        <v>1</v>
      </c>
      <c r="R588">
        <v>1</v>
      </c>
      <c r="S588">
        <v>1</v>
      </c>
    </row>
    <row r="589" spans="1:19" x14ac:dyDescent="0.25">
      <c r="A589" s="1">
        <v>0.62815556712962961</v>
      </c>
      <c r="B589" t="s">
        <v>1</v>
      </c>
      <c r="C589">
        <v>588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1</v>
      </c>
      <c r="M589">
        <v>1</v>
      </c>
      <c r="N589">
        <v>1</v>
      </c>
      <c r="O589">
        <v>1</v>
      </c>
      <c r="P589">
        <v>1</v>
      </c>
      <c r="Q589">
        <v>1</v>
      </c>
      <c r="R589">
        <v>1</v>
      </c>
      <c r="S589">
        <v>1</v>
      </c>
    </row>
    <row r="590" spans="1:19" x14ac:dyDescent="0.25">
      <c r="A590" s="1">
        <v>0.62815568287037038</v>
      </c>
      <c r="B590" t="s">
        <v>1</v>
      </c>
      <c r="C590">
        <v>589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1</v>
      </c>
      <c r="M590">
        <v>1</v>
      </c>
      <c r="N590">
        <v>1</v>
      </c>
      <c r="O590">
        <v>1</v>
      </c>
      <c r="P590">
        <v>1</v>
      </c>
      <c r="Q590">
        <v>1</v>
      </c>
      <c r="R590">
        <v>1</v>
      </c>
      <c r="S590">
        <v>1</v>
      </c>
    </row>
    <row r="591" spans="1:19" x14ac:dyDescent="0.25">
      <c r="A591" s="1">
        <v>0.62815579861111115</v>
      </c>
      <c r="B591" t="s">
        <v>1</v>
      </c>
      <c r="C591">
        <v>590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1</v>
      </c>
      <c r="M591">
        <v>1</v>
      </c>
      <c r="N591">
        <v>1</v>
      </c>
      <c r="O591">
        <v>1</v>
      </c>
      <c r="P591">
        <v>1</v>
      </c>
      <c r="Q591">
        <v>1</v>
      </c>
      <c r="R591">
        <v>1</v>
      </c>
      <c r="S591">
        <v>1</v>
      </c>
    </row>
    <row r="592" spans="1:19" x14ac:dyDescent="0.25">
      <c r="A592" s="1">
        <v>0.62815591435185181</v>
      </c>
      <c r="B592" t="s">
        <v>1</v>
      </c>
      <c r="C592">
        <v>591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1</v>
      </c>
      <c r="M592">
        <v>1</v>
      </c>
      <c r="N592">
        <v>1</v>
      </c>
      <c r="O592">
        <v>1</v>
      </c>
      <c r="P592">
        <v>1</v>
      </c>
      <c r="Q592">
        <v>1</v>
      </c>
      <c r="R592">
        <v>1</v>
      </c>
      <c r="S592">
        <v>1</v>
      </c>
    </row>
    <row r="593" spans="1:19" x14ac:dyDescent="0.25">
      <c r="A593" s="1">
        <v>0.62815603009259258</v>
      </c>
      <c r="B593" t="s">
        <v>1</v>
      </c>
      <c r="C593">
        <v>592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1</v>
      </c>
      <c r="M593">
        <v>1</v>
      </c>
      <c r="N593">
        <v>1</v>
      </c>
      <c r="O593">
        <v>1</v>
      </c>
      <c r="P593">
        <v>1</v>
      </c>
      <c r="Q593">
        <v>1</v>
      </c>
      <c r="R593">
        <v>1</v>
      </c>
      <c r="S593">
        <v>1</v>
      </c>
    </row>
    <row r="594" spans="1:19" x14ac:dyDescent="0.25">
      <c r="A594" s="1">
        <v>0.62815614583333335</v>
      </c>
      <c r="B594" t="s">
        <v>1</v>
      </c>
      <c r="C594">
        <v>593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1</v>
      </c>
      <c r="M594">
        <v>1</v>
      </c>
      <c r="N594">
        <v>1</v>
      </c>
      <c r="O594">
        <v>1</v>
      </c>
      <c r="P594">
        <v>1</v>
      </c>
      <c r="Q594">
        <v>1</v>
      </c>
      <c r="R594">
        <v>1</v>
      </c>
      <c r="S594">
        <v>1</v>
      </c>
    </row>
    <row r="595" spans="1:19" x14ac:dyDescent="0.25">
      <c r="A595" s="1">
        <v>0.62815626157407412</v>
      </c>
      <c r="B595" t="s">
        <v>1</v>
      </c>
      <c r="C595">
        <v>594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1</v>
      </c>
      <c r="M595">
        <v>1</v>
      </c>
      <c r="N595">
        <v>1</v>
      </c>
      <c r="O595">
        <v>1</v>
      </c>
      <c r="P595">
        <v>1</v>
      </c>
      <c r="Q595">
        <v>1</v>
      </c>
      <c r="R595">
        <v>1</v>
      </c>
      <c r="S595">
        <v>1</v>
      </c>
    </row>
    <row r="596" spans="1:19" x14ac:dyDescent="0.25">
      <c r="A596" s="1">
        <v>0.62815637731481477</v>
      </c>
      <c r="B596" t="s">
        <v>1</v>
      </c>
      <c r="C596">
        <v>595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1</v>
      </c>
      <c r="M596">
        <v>1</v>
      </c>
      <c r="N596">
        <v>1</v>
      </c>
      <c r="O596">
        <v>1</v>
      </c>
      <c r="P596">
        <v>1</v>
      </c>
      <c r="Q596">
        <v>1</v>
      </c>
      <c r="R596">
        <v>1</v>
      </c>
      <c r="S596">
        <v>1</v>
      </c>
    </row>
    <row r="597" spans="1:19" x14ac:dyDescent="0.25">
      <c r="A597" s="1">
        <v>0.62815649305555554</v>
      </c>
      <c r="B597" t="s">
        <v>1</v>
      </c>
      <c r="C597">
        <v>596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1</v>
      </c>
      <c r="M597">
        <v>1</v>
      </c>
      <c r="N597">
        <v>1</v>
      </c>
      <c r="O597">
        <v>1</v>
      </c>
      <c r="P597">
        <v>1</v>
      </c>
      <c r="Q597">
        <v>1</v>
      </c>
      <c r="R597">
        <v>1</v>
      </c>
      <c r="S597">
        <v>1</v>
      </c>
    </row>
    <row r="598" spans="1:19" x14ac:dyDescent="0.25">
      <c r="A598" s="1">
        <v>0.62815660879629631</v>
      </c>
      <c r="B598" t="s">
        <v>1</v>
      </c>
      <c r="C598">
        <v>597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1</v>
      </c>
      <c r="M598">
        <v>1</v>
      </c>
      <c r="N598">
        <v>1</v>
      </c>
      <c r="O598">
        <v>1</v>
      </c>
      <c r="P598">
        <v>1</v>
      </c>
      <c r="Q598">
        <v>1</v>
      </c>
      <c r="R598">
        <v>1</v>
      </c>
      <c r="S598">
        <v>1</v>
      </c>
    </row>
    <row r="599" spans="1:19" x14ac:dyDescent="0.25">
      <c r="A599" s="1">
        <v>0.62815672453703708</v>
      </c>
      <c r="B599" t="s">
        <v>1</v>
      </c>
      <c r="C599">
        <v>598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1</v>
      </c>
      <c r="M599">
        <v>1</v>
      </c>
      <c r="N599">
        <v>1</v>
      </c>
      <c r="O599">
        <v>1</v>
      </c>
      <c r="P599">
        <v>1</v>
      </c>
      <c r="Q599">
        <v>1</v>
      </c>
      <c r="R599">
        <v>1</v>
      </c>
      <c r="S599">
        <v>1</v>
      </c>
    </row>
    <row r="600" spans="1:19" x14ac:dyDescent="0.25">
      <c r="A600" s="1">
        <v>0.62815684027777774</v>
      </c>
      <c r="B600" t="s">
        <v>1</v>
      </c>
      <c r="C600">
        <v>599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1</v>
      </c>
      <c r="M600">
        <v>1</v>
      </c>
      <c r="N600">
        <v>1</v>
      </c>
      <c r="O600">
        <v>1</v>
      </c>
      <c r="P600">
        <v>1</v>
      </c>
      <c r="Q600">
        <v>1</v>
      </c>
      <c r="R600">
        <v>1</v>
      </c>
      <c r="S600">
        <v>1</v>
      </c>
    </row>
    <row r="601" spans="1:19" x14ac:dyDescent="0.25">
      <c r="A601" s="1">
        <v>0.62815694444444448</v>
      </c>
      <c r="B601" t="s">
        <v>1</v>
      </c>
      <c r="C601">
        <v>600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1</v>
      </c>
      <c r="M601">
        <v>1</v>
      </c>
      <c r="N601">
        <v>1</v>
      </c>
      <c r="O601">
        <v>1</v>
      </c>
      <c r="P601">
        <v>1</v>
      </c>
      <c r="Q601">
        <v>1</v>
      </c>
      <c r="R601">
        <v>1</v>
      </c>
      <c r="S601">
        <v>1</v>
      </c>
    </row>
    <row r="602" spans="1:19" x14ac:dyDescent="0.25">
      <c r="A602" s="1">
        <v>0.62815706018518513</v>
      </c>
      <c r="B602" t="s">
        <v>1</v>
      </c>
      <c r="C602">
        <v>601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1</v>
      </c>
      <c r="M602">
        <v>1</v>
      </c>
      <c r="N602">
        <v>1</v>
      </c>
      <c r="O602">
        <v>1</v>
      </c>
      <c r="P602">
        <v>1</v>
      </c>
      <c r="Q602">
        <v>1</v>
      </c>
      <c r="R602">
        <v>1</v>
      </c>
      <c r="S602">
        <v>1</v>
      </c>
    </row>
    <row r="603" spans="1:19" x14ac:dyDescent="0.25">
      <c r="A603" s="1">
        <v>0.62815718750000005</v>
      </c>
      <c r="B603" t="s">
        <v>1</v>
      </c>
      <c r="C603">
        <v>602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1</v>
      </c>
      <c r="M603">
        <v>1</v>
      </c>
      <c r="N603">
        <v>1</v>
      </c>
      <c r="O603">
        <v>1</v>
      </c>
      <c r="P603">
        <v>1</v>
      </c>
      <c r="Q603">
        <v>1</v>
      </c>
      <c r="R603">
        <v>1</v>
      </c>
      <c r="S603">
        <v>1</v>
      </c>
    </row>
    <row r="604" spans="1:19" x14ac:dyDescent="0.25">
      <c r="A604" s="1">
        <v>0.62815730324074071</v>
      </c>
      <c r="B604" t="s">
        <v>1</v>
      </c>
      <c r="C604">
        <v>603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1</v>
      </c>
      <c r="M604">
        <v>1</v>
      </c>
      <c r="N604">
        <v>1</v>
      </c>
      <c r="O604">
        <v>1</v>
      </c>
      <c r="P604">
        <v>1</v>
      </c>
      <c r="Q604">
        <v>1</v>
      </c>
      <c r="R604">
        <v>1</v>
      </c>
      <c r="S604">
        <v>1</v>
      </c>
    </row>
    <row r="605" spans="1:19" x14ac:dyDescent="0.25">
      <c r="A605" s="1">
        <v>0.62815740740740744</v>
      </c>
      <c r="B605" t="s">
        <v>1</v>
      </c>
      <c r="C605">
        <v>604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1</v>
      </c>
      <c r="M605">
        <v>1</v>
      </c>
      <c r="N605">
        <v>1</v>
      </c>
      <c r="O605">
        <v>1</v>
      </c>
      <c r="P605">
        <v>1</v>
      </c>
      <c r="Q605">
        <v>1</v>
      </c>
      <c r="R605">
        <v>1</v>
      </c>
      <c r="S605">
        <v>1</v>
      </c>
    </row>
    <row r="606" spans="1:19" x14ac:dyDescent="0.25">
      <c r="A606" s="1">
        <v>0.62815753472222224</v>
      </c>
      <c r="B606" t="s">
        <v>1</v>
      </c>
      <c r="C606">
        <v>605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1</v>
      </c>
      <c r="M606">
        <v>1</v>
      </c>
      <c r="N606">
        <v>1</v>
      </c>
      <c r="O606">
        <v>1</v>
      </c>
      <c r="P606">
        <v>1</v>
      </c>
      <c r="Q606">
        <v>1</v>
      </c>
      <c r="R606">
        <v>1</v>
      </c>
      <c r="S606">
        <v>1</v>
      </c>
    </row>
    <row r="607" spans="1:19" x14ac:dyDescent="0.25">
      <c r="A607" s="1">
        <v>0.62815765046296301</v>
      </c>
      <c r="B607" t="s">
        <v>1</v>
      </c>
      <c r="C607">
        <v>606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1</v>
      </c>
      <c r="M607">
        <v>1</v>
      </c>
      <c r="N607">
        <v>1</v>
      </c>
      <c r="O607">
        <v>1</v>
      </c>
      <c r="P607">
        <v>1</v>
      </c>
      <c r="Q607">
        <v>1</v>
      </c>
      <c r="R607">
        <v>1</v>
      </c>
      <c r="S607">
        <v>1</v>
      </c>
    </row>
    <row r="608" spans="1:19" x14ac:dyDescent="0.25">
      <c r="A608" s="1">
        <v>0.62815776620370367</v>
      </c>
      <c r="B608" t="s">
        <v>1</v>
      </c>
      <c r="C608">
        <v>607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1</v>
      </c>
      <c r="M608">
        <v>1</v>
      </c>
      <c r="N608">
        <v>1</v>
      </c>
      <c r="O608">
        <v>1</v>
      </c>
      <c r="P608">
        <v>1</v>
      </c>
      <c r="Q608">
        <v>1</v>
      </c>
      <c r="R608">
        <v>1</v>
      </c>
      <c r="S608">
        <v>1</v>
      </c>
    </row>
    <row r="609" spans="1:19" x14ac:dyDescent="0.25">
      <c r="A609" s="1">
        <v>0.62815787037037041</v>
      </c>
      <c r="B609" t="s">
        <v>1</v>
      </c>
      <c r="C609">
        <v>608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1</v>
      </c>
      <c r="M609">
        <v>1</v>
      </c>
      <c r="N609">
        <v>1</v>
      </c>
      <c r="O609">
        <v>1</v>
      </c>
      <c r="P609">
        <v>1</v>
      </c>
      <c r="Q609">
        <v>1</v>
      </c>
      <c r="R609">
        <v>1</v>
      </c>
      <c r="S609">
        <v>1</v>
      </c>
    </row>
    <row r="610" spans="1:19" x14ac:dyDescent="0.25">
      <c r="A610" s="1">
        <v>0.62815799768518521</v>
      </c>
      <c r="B610" t="s">
        <v>1</v>
      </c>
      <c r="C610">
        <v>609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1</v>
      </c>
      <c r="M610">
        <v>1</v>
      </c>
      <c r="N610">
        <v>1</v>
      </c>
      <c r="O610">
        <v>1</v>
      </c>
      <c r="P610">
        <v>1</v>
      </c>
      <c r="Q610">
        <v>1</v>
      </c>
      <c r="R610">
        <v>1</v>
      </c>
      <c r="S610">
        <v>1</v>
      </c>
    </row>
    <row r="611" spans="1:19" x14ac:dyDescent="0.25">
      <c r="A611" s="1">
        <v>0.62815811342592598</v>
      </c>
      <c r="B611" t="s">
        <v>1</v>
      </c>
      <c r="C611">
        <v>610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1</v>
      </c>
      <c r="M611">
        <v>1</v>
      </c>
      <c r="N611">
        <v>1</v>
      </c>
      <c r="O611">
        <v>1</v>
      </c>
      <c r="P611">
        <v>1</v>
      </c>
      <c r="Q611">
        <v>1</v>
      </c>
      <c r="R611">
        <v>1</v>
      </c>
      <c r="S611">
        <v>1</v>
      </c>
    </row>
    <row r="612" spans="1:19" x14ac:dyDescent="0.25">
      <c r="A612" s="1">
        <v>0.62815822916666664</v>
      </c>
      <c r="B612" t="s">
        <v>1</v>
      </c>
      <c r="C612">
        <v>611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1</v>
      </c>
      <c r="M612">
        <v>1</v>
      </c>
      <c r="N612">
        <v>1</v>
      </c>
      <c r="O612">
        <v>1</v>
      </c>
      <c r="P612">
        <v>1</v>
      </c>
      <c r="Q612">
        <v>1</v>
      </c>
      <c r="R612">
        <v>1</v>
      </c>
      <c r="S612">
        <v>1</v>
      </c>
    </row>
    <row r="613" spans="1:19" x14ac:dyDescent="0.25">
      <c r="A613" s="1">
        <v>0.62815844907407403</v>
      </c>
      <c r="B613" t="s">
        <v>2</v>
      </c>
      <c r="C613">
        <v>612</v>
      </c>
      <c r="D613">
        <v>0</v>
      </c>
      <c r="E613">
        <v>1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1</v>
      </c>
      <c r="M613">
        <v>1</v>
      </c>
      <c r="N613">
        <v>1</v>
      </c>
      <c r="O613">
        <v>1</v>
      </c>
      <c r="P613">
        <v>1</v>
      </c>
      <c r="Q613">
        <v>1</v>
      </c>
      <c r="R613">
        <v>1</v>
      </c>
      <c r="S613">
        <v>1</v>
      </c>
    </row>
    <row r="614" spans="1:19" x14ac:dyDescent="0.25">
      <c r="A614" s="1">
        <v>0.6281585648148148</v>
      </c>
      <c r="B614" t="s">
        <v>2</v>
      </c>
      <c r="C614">
        <v>613</v>
      </c>
      <c r="D614">
        <v>0</v>
      </c>
      <c r="E614">
        <v>1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1</v>
      </c>
      <c r="M614">
        <v>1</v>
      </c>
      <c r="N614">
        <v>1</v>
      </c>
      <c r="O614">
        <v>1</v>
      </c>
      <c r="P614">
        <v>1</v>
      </c>
      <c r="Q614">
        <v>1</v>
      </c>
      <c r="R614">
        <v>1</v>
      </c>
      <c r="S614">
        <v>1</v>
      </c>
    </row>
    <row r="615" spans="1:19" x14ac:dyDescent="0.25">
      <c r="A615" s="1">
        <v>0.62815868055555557</v>
      </c>
      <c r="B615" t="s">
        <v>2</v>
      </c>
      <c r="C615">
        <v>614</v>
      </c>
      <c r="D615">
        <v>0</v>
      </c>
      <c r="E615">
        <v>1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1</v>
      </c>
      <c r="M615">
        <v>1</v>
      </c>
      <c r="N615">
        <v>1</v>
      </c>
      <c r="O615">
        <v>1</v>
      </c>
      <c r="P615">
        <v>1</v>
      </c>
      <c r="Q615">
        <v>1</v>
      </c>
      <c r="R615">
        <v>1</v>
      </c>
      <c r="S615">
        <v>1</v>
      </c>
    </row>
    <row r="616" spans="1:19" x14ac:dyDescent="0.25">
      <c r="A616" s="1">
        <v>0.62815879629629634</v>
      </c>
      <c r="B616" t="s">
        <v>2</v>
      </c>
      <c r="C616">
        <v>615</v>
      </c>
      <c r="D616">
        <v>0</v>
      </c>
      <c r="E616">
        <v>1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1</v>
      </c>
      <c r="M616">
        <v>1</v>
      </c>
      <c r="N616">
        <v>1</v>
      </c>
      <c r="O616">
        <v>1</v>
      </c>
      <c r="P616">
        <v>1</v>
      </c>
      <c r="Q616">
        <v>1</v>
      </c>
      <c r="R616">
        <v>1</v>
      </c>
      <c r="S616">
        <v>1</v>
      </c>
    </row>
    <row r="617" spans="1:19" x14ac:dyDescent="0.25">
      <c r="A617" s="1">
        <v>0.628158912037037</v>
      </c>
      <c r="B617" t="s">
        <v>2</v>
      </c>
      <c r="C617">
        <v>616</v>
      </c>
      <c r="D617">
        <v>0</v>
      </c>
      <c r="E617">
        <v>1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1</v>
      </c>
      <c r="M617">
        <v>1</v>
      </c>
      <c r="N617">
        <v>1</v>
      </c>
      <c r="O617">
        <v>1</v>
      </c>
      <c r="P617">
        <v>1</v>
      </c>
      <c r="Q617">
        <v>1</v>
      </c>
      <c r="R617">
        <v>1</v>
      </c>
      <c r="S617">
        <v>1</v>
      </c>
    </row>
    <row r="618" spans="1:19" x14ac:dyDescent="0.25">
      <c r="A618" s="1">
        <v>0.62815902777777777</v>
      </c>
      <c r="B618" t="s">
        <v>2</v>
      </c>
      <c r="C618">
        <v>617</v>
      </c>
      <c r="D618">
        <v>0</v>
      </c>
      <c r="E618">
        <v>1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1</v>
      </c>
      <c r="M618">
        <v>1</v>
      </c>
      <c r="N618">
        <v>1</v>
      </c>
      <c r="O618">
        <v>1</v>
      </c>
      <c r="P618">
        <v>1</v>
      </c>
      <c r="Q618">
        <v>1</v>
      </c>
      <c r="R618">
        <v>1</v>
      </c>
      <c r="S618">
        <v>1</v>
      </c>
    </row>
    <row r="619" spans="1:19" x14ac:dyDescent="0.25">
      <c r="A619" s="1">
        <v>0.62815914351851854</v>
      </c>
      <c r="B619" t="s">
        <v>2</v>
      </c>
      <c r="C619">
        <v>618</v>
      </c>
      <c r="D619">
        <v>0</v>
      </c>
      <c r="E619">
        <v>1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1</v>
      </c>
      <c r="M619">
        <v>1</v>
      </c>
      <c r="N619">
        <v>1</v>
      </c>
      <c r="O619">
        <v>1</v>
      </c>
      <c r="P619">
        <v>1</v>
      </c>
      <c r="Q619">
        <v>1</v>
      </c>
      <c r="R619">
        <v>1</v>
      </c>
      <c r="S619">
        <v>1</v>
      </c>
    </row>
    <row r="620" spans="1:19" x14ac:dyDescent="0.25">
      <c r="A620" s="1">
        <v>0.62815925925925931</v>
      </c>
      <c r="B620" t="s">
        <v>1</v>
      </c>
      <c r="C620">
        <v>619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1</v>
      </c>
      <c r="M620">
        <v>1</v>
      </c>
      <c r="N620">
        <v>1</v>
      </c>
      <c r="O620">
        <v>1</v>
      </c>
      <c r="P620">
        <v>1</v>
      </c>
      <c r="Q620">
        <v>1</v>
      </c>
      <c r="R620">
        <v>1</v>
      </c>
      <c r="S620">
        <v>1</v>
      </c>
    </row>
    <row r="621" spans="1:19" x14ac:dyDescent="0.25">
      <c r="A621" s="1">
        <v>0.62815937499999996</v>
      </c>
      <c r="B621" t="s">
        <v>1</v>
      </c>
      <c r="C621">
        <v>620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1</v>
      </c>
      <c r="M621">
        <v>1</v>
      </c>
      <c r="N621">
        <v>1</v>
      </c>
      <c r="O621">
        <v>1</v>
      </c>
      <c r="P621">
        <v>1</v>
      </c>
      <c r="Q621">
        <v>1</v>
      </c>
      <c r="R621">
        <v>1</v>
      </c>
      <c r="S621">
        <v>1</v>
      </c>
    </row>
    <row r="622" spans="1:19" x14ac:dyDescent="0.25">
      <c r="A622" s="1">
        <v>0.62815949074074073</v>
      </c>
      <c r="B622" t="s">
        <v>1</v>
      </c>
      <c r="C622">
        <v>621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1</v>
      </c>
      <c r="M622">
        <v>1</v>
      </c>
      <c r="N622">
        <v>1</v>
      </c>
      <c r="O622">
        <v>1</v>
      </c>
      <c r="P622">
        <v>1</v>
      </c>
      <c r="Q622">
        <v>1</v>
      </c>
      <c r="R622">
        <v>1</v>
      </c>
      <c r="S622">
        <v>1</v>
      </c>
    </row>
    <row r="623" spans="1:19" x14ac:dyDescent="0.25">
      <c r="A623" s="1">
        <v>0.6281596064814815</v>
      </c>
      <c r="B623" t="s">
        <v>1</v>
      </c>
      <c r="C623">
        <v>622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1</v>
      </c>
      <c r="M623">
        <v>1</v>
      </c>
      <c r="N623">
        <v>1</v>
      </c>
      <c r="O623">
        <v>1</v>
      </c>
      <c r="P623">
        <v>1</v>
      </c>
      <c r="Q623">
        <v>1</v>
      </c>
      <c r="R623">
        <v>1</v>
      </c>
      <c r="S623">
        <v>1</v>
      </c>
    </row>
    <row r="624" spans="1:19" x14ac:dyDescent="0.25">
      <c r="A624" s="1">
        <v>0.62815972222222227</v>
      </c>
      <c r="B624" t="s">
        <v>1</v>
      </c>
      <c r="C624">
        <v>623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1</v>
      </c>
      <c r="M624">
        <v>1</v>
      </c>
      <c r="N624">
        <v>1</v>
      </c>
      <c r="O624">
        <v>1</v>
      </c>
      <c r="P624">
        <v>1</v>
      </c>
      <c r="Q624">
        <v>1</v>
      </c>
      <c r="R624">
        <v>1</v>
      </c>
      <c r="S624">
        <v>1</v>
      </c>
    </row>
    <row r="625" spans="1:19" x14ac:dyDescent="0.25">
      <c r="A625" s="1">
        <v>0.62815983796296293</v>
      </c>
      <c r="B625" t="s">
        <v>1</v>
      </c>
      <c r="C625">
        <v>624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1</v>
      </c>
      <c r="M625">
        <v>1</v>
      </c>
      <c r="N625">
        <v>1</v>
      </c>
      <c r="O625">
        <v>1</v>
      </c>
      <c r="P625">
        <v>1</v>
      </c>
      <c r="Q625">
        <v>1</v>
      </c>
      <c r="R625">
        <v>1</v>
      </c>
      <c r="S625">
        <v>1</v>
      </c>
    </row>
    <row r="626" spans="1:19" x14ac:dyDescent="0.25">
      <c r="A626" s="1">
        <v>0.6281599537037037</v>
      </c>
      <c r="B626" t="s">
        <v>1</v>
      </c>
      <c r="C626">
        <v>625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1</v>
      </c>
      <c r="M626">
        <v>1</v>
      </c>
      <c r="N626">
        <v>1</v>
      </c>
      <c r="O626">
        <v>1</v>
      </c>
      <c r="P626">
        <v>1</v>
      </c>
      <c r="Q626">
        <v>1</v>
      </c>
      <c r="R626">
        <v>1</v>
      </c>
      <c r="S626">
        <v>1</v>
      </c>
    </row>
    <row r="627" spans="1:19" x14ac:dyDescent="0.25">
      <c r="A627" s="1">
        <v>0.62816006944444447</v>
      </c>
      <c r="B627" t="s">
        <v>1</v>
      </c>
      <c r="C627">
        <v>626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1</v>
      </c>
      <c r="M627">
        <v>1</v>
      </c>
      <c r="N627">
        <v>1</v>
      </c>
      <c r="O627">
        <v>1</v>
      </c>
      <c r="P627">
        <v>1</v>
      </c>
      <c r="Q627">
        <v>1</v>
      </c>
      <c r="R627">
        <v>1</v>
      </c>
      <c r="S627">
        <v>1</v>
      </c>
    </row>
    <row r="628" spans="1:19" x14ac:dyDescent="0.25">
      <c r="A628" s="1">
        <v>0.62816018518518524</v>
      </c>
      <c r="B628" t="s">
        <v>1</v>
      </c>
      <c r="C628">
        <v>627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1</v>
      </c>
      <c r="M628">
        <v>1</v>
      </c>
      <c r="N628">
        <v>1</v>
      </c>
      <c r="O628">
        <v>1</v>
      </c>
      <c r="P628">
        <v>1</v>
      </c>
      <c r="Q628">
        <v>1</v>
      </c>
      <c r="R628">
        <v>1</v>
      </c>
      <c r="S628">
        <v>1</v>
      </c>
    </row>
    <row r="629" spans="1:19" x14ac:dyDescent="0.25">
      <c r="A629" s="1">
        <v>0.6281603009259259</v>
      </c>
      <c r="B629" t="s">
        <v>1</v>
      </c>
      <c r="C629">
        <v>628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1</v>
      </c>
      <c r="M629">
        <v>1</v>
      </c>
      <c r="N629">
        <v>1</v>
      </c>
      <c r="O629">
        <v>1</v>
      </c>
      <c r="P629">
        <v>1</v>
      </c>
      <c r="Q629">
        <v>1</v>
      </c>
      <c r="R629">
        <v>1</v>
      </c>
      <c r="S629">
        <v>1</v>
      </c>
    </row>
    <row r="630" spans="1:19" x14ac:dyDescent="0.25">
      <c r="A630" s="1">
        <v>0.62816041666666667</v>
      </c>
      <c r="B630" t="s">
        <v>1</v>
      </c>
      <c r="C630">
        <v>629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1</v>
      </c>
      <c r="M630">
        <v>1</v>
      </c>
      <c r="N630">
        <v>1</v>
      </c>
      <c r="O630">
        <v>1</v>
      </c>
      <c r="P630">
        <v>1</v>
      </c>
      <c r="Q630">
        <v>1</v>
      </c>
      <c r="R630">
        <v>1</v>
      </c>
      <c r="S630">
        <v>1</v>
      </c>
    </row>
    <row r="631" spans="1:19" x14ac:dyDescent="0.25">
      <c r="A631" s="1">
        <v>0.62816053240740743</v>
      </c>
      <c r="B631" t="s">
        <v>1</v>
      </c>
      <c r="C631">
        <v>630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1</v>
      </c>
      <c r="M631">
        <v>1</v>
      </c>
      <c r="N631">
        <v>1</v>
      </c>
      <c r="O631">
        <v>1</v>
      </c>
      <c r="P631">
        <v>1</v>
      </c>
      <c r="Q631">
        <v>1</v>
      </c>
      <c r="R631">
        <v>1</v>
      </c>
      <c r="S631">
        <v>1</v>
      </c>
    </row>
    <row r="632" spans="1:19" x14ac:dyDescent="0.25">
      <c r="A632" s="1">
        <v>0.62816064814814809</v>
      </c>
      <c r="B632" t="s">
        <v>1</v>
      </c>
      <c r="C632">
        <v>631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1</v>
      </c>
      <c r="M632">
        <v>1</v>
      </c>
      <c r="N632">
        <v>1</v>
      </c>
      <c r="O632">
        <v>1</v>
      </c>
      <c r="P632">
        <v>1</v>
      </c>
      <c r="Q632">
        <v>1</v>
      </c>
      <c r="R632">
        <v>1</v>
      </c>
      <c r="S632">
        <v>1</v>
      </c>
    </row>
    <row r="633" spans="1:19" x14ac:dyDescent="0.25">
      <c r="A633" s="1">
        <v>0.62816076388888886</v>
      </c>
      <c r="B633" t="s">
        <v>1</v>
      </c>
      <c r="C633">
        <v>632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1</v>
      </c>
      <c r="M633">
        <v>1</v>
      </c>
      <c r="N633">
        <v>1</v>
      </c>
      <c r="O633">
        <v>1</v>
      </c>
      <c r="P633">
        <v>1</v>
      </c>
      <c r="Q633">
        <v>1</v>
      </c>
      <c r="R633">
        <v>1</v>
      </c>
      <c r="S633">
        <v>1</v>
      </c>
    </row>
    <row r="634" spans="1:19" x14ac:dyDescent="0.25">
      <c r="A634" s="1">
        <v>0.62816087962962963</v>
      </c>
      <c r="B634" t="s">
        <v>1</v>
      </c>
      <c r="C634">
        <v>633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1</v>
      </c>
      <c r="M634">
        <v>1</v>
      </c>
      <c r="N634">
        <v>1</v>
      </c>
      <c r="O634">
        <v>1</v>
      </c>
      <c r="P634">
        <v>1</v>
      </c>
      <c r="Q634">
        <v>1</v>
      </c>
      <c r="R634">
        <v>1</v>
      </c>
      <c r="S634">
        <v>1</v>
      </c>
    </row>
    <row r="635" spans="1:19" x14ac:dyDescent="0.25">
      <c r="A635" s="1">
        <v>0.6281609953703704</v>
      </c>
      <c r="B635" t="s">
        <v>1</v>
      </c>
      <c r="C635">
        <v>634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1</v>
      </c>
      <c r="M635">
        <v>1</v>
      </c>
      <c r="N635">
        <v>1</v>
      </c>
      <c r="O635">
        <v>1</v>
      </c>
      <c r="P635">
        <v>1</v>
      </c>
      <c r="Q635">
        <v>1</v>
      </c>
      <c r="R635">
        <v>1</v>
      </c>
      <c r="S635">
        <v>1</v>
      </c>
    </row>
    <row r="636" spans="1:19" x14ac:dyDescent="0.25">
      <c r="A636" s="1">
        <v>0.62816111111111106</v>
      </c>
      <c r="B636" t="s">
        <v>1</v>
      </c>
      <c r="C636">
        <v>635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1</v>
      </c>
      <c r="M636">
        <v>1</v>
      </c>
      <c r="N636">
        <v>1</v>
      </c>
      <c r="O636">
        <v>1</v>
      </c>
      <c r="P636">
        <v>1</v>
      </c>
      <c r="Q636">
        <v>1</v>
      </c>
      <c r="R636">
        <v>1</v>
      </c>
      <c r="S636">
        <v>1</v>
      </c>
    </row>
    <row r="637" spans="1:19" x14ac:dyDescent="0.25">
      <c r="A637" s="1">
        <v>0.62816122685185183</v>
      </c>
      <c r="B637" t="s">
        <v>1</v>
      </c>
      <c r="C637">
        <v>636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1</v>
      </c>
      <c r="M637">
        <v>1</v>
      </c>
      <c r="N637">
        <v>1</v>
      </c>
      <c r="O637">
        <v>1</v>
      </c>
      <c r="P637">
        <v>1</v>
      </c>
      <c r="Q637">
        <v>1</v>
      </c>
      <c r="R637">
        <v>1</v>
      </c>
      <c r="S637">
        <v>1</v>
      </c>
    </row>
    <row r="638" spans="1:19" x14ac:dyDescent="0.25">
      <c r="A638" s="1">
        <v>0.6281613425925926</v>
      </c>
      <c r="B638" t="s">
        <v>1</v>
      </c>
      <c r="C638">
        <v>637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1</v>
      </c>
      <c r="M638">
        <v>1</v>
      </c>
      <c r="N638">
        <v>1</v>
      </c>
      <c r="O638">
        <v>1</v>
      </c>
      <c r="P638">
        <v>1</v>
      </c>
      <c r="Q638">
        <v>1</v>
      </c>
      <c r="R638">
        <v>1</v>
      </c>
      <c r="S638">
        <v>1</v>
      </c>
    </row>
    <row r="639" spans="1:19" x14ac:dyDescent="0.25">
      <c r="A639" s="1">
        <v>0.62816145833333337</v>
      </c>
      <c r="B639" t="s">
        <v>1</v>
      </c>
      <c r="C639">
        <v>638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1</v>
      </c>
      <c r="M639">
        <v>1</v>
      </c>
      <c r="N639">
        <v>1</v>
      </c>
      <c r="O639">
        <v>1</v>
      </c>
      <c r="P639">
        <v>1</v>
      </c>
      <c r="Q639">
        <v>1</v>
      </c>
      <c r="R639">
        <v>1</v>
      </c>
      <c r="S639">
        <v>1</v>
      </c>
    </row>
    <row r="640" spans="1:19" x14ac:dyDescent="0.25">
      <c r="A640" s="1">
        <v>0.62816157407407403</v>
      </c>
      <c r="B640" t="s">
        <v>1</v>
      </c>
      <c r="C640">
        <v>639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1</v>
      </c>
      <c r="M640">
        <v>1</v>
      </c>
      <c r="N640">
        <v>1</v>
      </c>
      <c r="O640">
        <v>1</v>
      </c>
      <c r="P640">
        <v>1</v>
      </c>
      <c r="Q640">
        <v>1</v>
      </c>
      <c r="R640">
        <v>1</v>
      </c>
      <c r="S640">
        <v>1</v>
      </c>
    </row>
    <row r="641" spans="1:19" x14ac:dyDescent="0.25">
      <c r="A641" s="1">
        <v>0.62816168981481479</v>
      </c>
      <c r="B641" t="s">
        <v>1</v>
      </c>
      <c r="C641">
        <v>640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1</v>
      </c>
      <c r="M641">
        <v>1</v>
      </c>
      <c r="N641">
        <v>1</v>
      </c>
      <c r="O641">
        <v>1</v>
      </c>
      <c r="P641">
        <v>1</v>
      </c>
      <c r="Q641">
        <v>1</v>
      </c>
      <c r="R641">
        <v>1</v>
      </c>
      <c r="S641">
        <v>1</v>
      </c>
    </row>
    <row r="642" spans="1:19" x14ac:dyDescent="0.25">
      <c r="A642" s="1">
        <v>0.62816180555555556</v>
      </c>
      <c r="B642" t="s">
        <v>1</v>
      </c>
      <c r="C642">
        <v>641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1</v>
      </c>
      <c r="M642">
        <v>1</v>
      </c>
      <c r="N642">
        <v>1</v>
      </c>
      <c r="O642">
        <v>1</v>
      </c>
      <c r="P642">
        <v>1</v>
      </c>
      <c r="Q642">
        <v>1</v>
      </c>
      <c r="R642">
        <v>1</v>
      </c>
      <c r="S642">
        <v>1</v>
      </c>
    </row>
    <row r="643" spans="1:19" x14ac:dyDescent="0.25">
      <c r="A643" s="1">
        <v>0.62816192129629633</v>
      </c>
      <c r="B643" t="s">
        <v>1</v>
      </c>
      <c r="C643">
        <v>642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1</v>
      </c>
      <c r="M643">
        <v>1</v>
      </c>
      <c r="N643">
        <v>1</v>
      </c>
      <c r="O643">
        <v>1</v>
      </c>
      <c r="P643">
        <v>1</v>
      </c>
      <c r="Q643">
        <v>1</v>
      </c>
      <c r="R643">
        <v>1</v>
      </c>
      <c r="S643">
        <v>1</v>
      </c>
    </row>
    <row r="644" spans="1:19" x14ac:dyDescent="0.25">
      <c r="A644" s="1">
        <v>0.62816203703703699</v>
      </c>
      <c r="B644" t="s">
        <v>1</v>
      </c>
      <c r="C644">
        <v>643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1</v>
      </c>
      <c r="M644">
        <v>1</v>
      </c>
      <c r="N644">
        <v>1</v>
      </c>
      <c r="O644">
        <v>1</v>
      </c>
      <c r="P644">
        <v>1</v>
      </c>
      <c r="Q644">
        <v>1</v>
      </c>
      <c r="R644">
        <v>1</v>
      </c>
      <c r="S644">
        <v>1</v>
      </c>
    </row>
    <row r="645" spans="1:19" x14ac:dyDescent="0.25">
      <c r="A645" s="1">
        <v>0.62816215277777776</v>
      </c>
      <c r="B645" t="s">
        <v>1</v>
      </c>
      <c r="C645">
        <v>644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1</v>
      </c>
      <c r="M645">
        <v>1</v>
      </c>
      <c r="N645">
        <v>1</v>
      </c>
      <c r="O645">
        <v>1</v>
      </c>
      <c r="P645">
        <v>1</v>
      </c>
      <c r="Q645">
        <v>1</v>
      </c>
      <c r="R645">
        <v>1</v>
      </c>
      <c r="S645">
        <v>1</v>
      </c>
    </row>
    <row r="646" spans="1:19" x14ac:dyDescent="0.25">
      <c r="A646" s="1">
        <v>0.62816226851851853</v>
      </c>
      <c r="B646" t="s">
        <v>1</v>
      </c>
      <c r="C646">
        <v>645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1</v>
      </c>
      <c r="M646">
        <v>1</v>
      </c>
      <c r="N646">
        <v>1</v>
      </c>
      <c r="O646">
        <v>1</v>
      </c>
      <c r="P646">
        <v>1</v>
      </c>
      <c r="Q646">
        <v>1</v>
      </c>
      <c r="R646">
        <v>1</v>
      </c>
      <c r="S646">
        <v>1</v>
      </c>
    </row>
    <row r="647" spans="1:19" x14ac:dyDescent="0.25">
      <c r="A647" s="1">
        <v>0.6281623842592593</v>
      </c>
      <c r="B647" t="s">
        <v>1</v>
      </c>
      <c r="C647">
        <v>646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1</v>
      </c>
      <c r="M647">
        <v>1</v>
      </c>
      <c r="N647">
        <v>1</v>
      </c>
      <c r="O647">
        <v>1</v>
      </c>
      <c r="P647">
        <v>1</v>
      </c>
      <c r="Q647">
        <v>1</v>
      </c>
      <c r="R647">
        <v>1</v>
      </c>
      <c r="S647">
        <v>1</v>
      </c>
    </row>
    <row r="648" spans="1:19" x14ac:dyDescent="0.25">
      <c r="A648" s="1">
        <v>0.62816249999999996</v>
      </c>
      <c r="B648" t="s">
        <v>1</v>
      </c>
      <c r="C648">
        <v>647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1</v>
      </c>
      <c r="M648">
        <v>1</v>
      </c>
      <c r="N648">
        <v>1</v>
      </c>
      <c r="O648">
        <v>1</v>
      </c>
      <c r="P648">
        <v>1</v>
      </c>
      <c r="Q648">
        <v>1</v>
      </c>
      <c r="R648">
        <v>1</v>
      </c>
      <c r="S648">
        <v>1</v>
      </c>
    </row>
    <row r="649" spans="1:19" x14ac:dyDescent="0.25">
      <c r="A649" s="1">
        <v>0.62816261574074073</v>
      </c>
      <c r="B649" t="s">
        <v>1</v>
      </c>
      <c r="C649">
        <v>648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1</v>
      </c>
      <c r="M649">
        <v>1</v>
      </c>
      <c r="N649">
        <v>1</v>
      </c>
      <c r="O649">
        <v>1</v>
      </c>
      <c r="P649">
        <v>1</v>
      </c>
      <c r="Q649">
        <v>1</v>
      </c>
      <c r="R649">
        <v>1</v>
      </c>
      <c r="S649">
        <v>1</v>
      </c>
    </row>
    <row r="650" spans="1:19" x14ac:dyDescent="0.25">
      <c r="A650" s="1">
        <v>0.6281627314814815</v>
      </c>
      <c r="B650" t="s">
        <v>1</v>
      </c>
      <c r="C650">
        <v>649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1</v>
      </c>
      <c r="M650">
        <v>1</v>
      </c>
      <c r="N650">
        <v>1</v>
      </c>
      <c r="O650">
        <v>1</v>
      </c>
      <c r="P650">
        <v>1</v>
      </c>
      <c r="Q650">
        <v>1</v>
      </c>
      <c r="R650">
        <v>1</v>
      </c>
      <c r="S650">
        <v>1</v>
      </c>
    </row>
    <row r="651" spans="1:19" x14ac:dyDescent="0.25">
      <c r="A651" s="1">
        <v>0.62816284722222226</v>
      </c>
      <c r="B651" t="s">
        <v>1</v>
      </c>
      <c r="C651">
        <v>650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1</v>
      </c>
      <c r="M651">
        <v>1</v>
      </c>
      <c r="N651">
        <v>1</v>
      </c>
      <c r="O651">
        <v>1</v>
      </c>
      <c r="P651">
        <v>1</v>
      </c>
      <c r="Q651">
        <v>1</v>
      </c>
      <c r="R651">
        <v>1</v>
      </c>
      <c r="S651">
        <v>1</v>
      </c>
    </row>
    <row r="652" spans="1:19" x14ac:dyDescent="0.25">
      <c r="A652" s="1">
        <v>0.62816296296296292</v>
      </c>
      <c r="B652" t="s">
        <v>1</v>
      </c>
      <c r="C652">
        <v>651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1</v>
      </c>
      <c r="M652">
        <v>1</v>
      </c>
      <c r="N652">
        <v>1</v>
      </c>
      <c r="O652">
        <v>1</v>
      </c>
      <c r="P652">
        <v>1</v>
      </c>
      <c r="Q652">
        <v>1</v>
      </c>
      <c r="R652">
        <v>1</v>
      </c>
      <c r="S652">
        <v>1</v>
      </c>
    </row>
    <row r="653" spans="1:19" x14ac:dyDescent="0.25">
      <c r="A653" s="1">
        <v>0.62816307870370369</v>
      </c>
      <c r="B653" t="s">
        <v>1</v>
      </c>
      <c r="C653">
        <v>652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1</v>
      </c>
      <c r="M653">
        <v>1</v>
      </c>
      <c r="N653">
        <v>1</v>
      </c>
      <c r="O653">
        <v>1</v>
      </c>
      <c r="P653">
        <v>1</v>
      </c>
      <c r="Q653">
        <v>1</v>
      </c>
      <c r="R653">
        <v>1</v>
      </c>
      <c r="S653">
        <v>1</v>
      </c>
    </row>
    <row r="654" spans="1:19" x14ac:dyDescent="0.25">
      <c r="A654" s="1">
        <v>0.62816319444444446</v>
      </c>
      <c r="B654" t="s">
        <v>1</v>
      </c>
      <c r="C654">
        <v>653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1</v>
      </c>
      <c r="M654">
        <v>1</v>
      </c>
      <c r="N654">
        <v>1</v>
      </c>
      <c r="O654">
        <v>1</v>
      </c>
      <c r="P654">
        <v>1</v>
      </c>
      <c r="Q654">
        <v>1</v>
      </c>
      <c r="R654">
        <v>1</v>
      </c>
      <c r="S654">
        <v>1</v>
      </c>
    </row>
    <row r="655" spans="1:19" x14ac:dyDescent="0.25">
      <c r="A655" s="1">
        <v>0.62816331018518523</v>
      </c>
      <c r="B655" t="s">
        <v>1</v>
      </c>
      <c r="C655">
        <v>654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1</v>
      </c>
      <c r="M655">
        <v>1</v>
      </c>
      <c r="N655">
        <v>1</v>
      </c>
      <c r="O655">
        <v>1</v>
      </c>
      <c r="P655">
        <v>1</v>
      </c>
      <c r="Q655">
        <v>1</v>
      </c>
      <c r="R655">
        <v>1</v>
      </c>
      <c r="S655">
        <v>1</v>
      </c>
    </row>
    <row r="656" spans="1:19" x14ac:dyDescent="0.25">
      <c r="A656" s="1">
        <v>0.62816342592592589</v>
      </c>
      <c r="B656" t="s">
        <v>1</v>
      </c>
      <c r="C656">
        <v>655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1</v>
      </c>
      <c r="M656">
        <v>1</v>
      </c>
      <c r="N656">
        <v>1</v>
      </c>
      <c r="O656">
        <v>1</v>
      </c>
      <c r="P656">
        <v>1</v>
      </c>
      <c r="Q656">
        <v>1</v>
      </c>
      <c r="R656">
        <v>1</v>
      </c>
      <c r="S656">
        <v>1</v>
      </c>
    </row>
    <row r="657" spans="1:19" x14ac:dyDescent="0.25">
      <c r="A657" s="1">
        <v>0.62816354166666666</v>
      </c>
      <c r="B657" t="s">
        <v>1</v>
      </c>
      <c r="C657">
        <v>656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1</v>
      </c>
      <c r="M657">
        <v>1</v>
      </c>
      <c r="N657">
        <v>1</v>
      </c>
      <c r="O657">
        <v>1</v>
      </c>
      <c r="P657">
        <v>1</v>
      </c>
      <c r="Q657">
        <v>1</v>
      </c>
      <c r="R657">
        <v>1</v>
      </c>
      <c r="S657">
        <v>1</v>
      </c>
    </row>
    <row r="658" spans="1:19" x14ac:dyDescent="0.25">
      <c r="A658" s="1">
        <v>0.62816365740740743</v>
      </c>
      <c r="B658" t="s">
        <v>1</v>
      </c>
      <c r="C658">
        <v>657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1</v>
      </c>
      <c r="M658">
        <v>1</v>
      </c>
      <c r="N658">
        <v>1</v>
      </c>
      <c r="O658">
        <v>1</v>
      </c>
      <c r="P658">
        <v>1</v>
      </c>
      <c r="Q658">
        <v>1</v>
      </c>
      <c r="R658">
        <v>1</v>
      </c>
      <c r="S658">
        <v>1</v>
      </c>
    </row>
    <row r="659" spans="1:19" x14ac:dyDescent="0.25">
      <c r="A659" s="1">
        <v>0.6281637731481482</v>
      </c>
      <c r="B659" t="s">
        <v>1</v>
      </c>
      <c r="C659">
        <v>658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1</v>
      </c>
      <c r="M659">
        <v>1</v>
      </c>
      <c r="N659">
        <v>1</v>
      </c>
      <c r="O659">
        <v>1</v>
      </c>
      <c r="P659">
        <v>1</v>
      </c>
      <c r="Q659">
        <v>1</v>
      </c>
      <c r="R659">
        <v>1</v>
      </c>
      <c r="S659">
        <v>1</v>
      </c>
    </row>
    <row r="660" spans="1:19" x14ac:dyDescent="0.25">
      <c r="A660" s="1">
        <v>0.62816388888888885</v>
      </c>
      <c r="B660" t="s">
        <v>1</v>
      </c>
      <c r="C660">
        <v>659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1</v>
      </c>
      <c r="M660">
        <v>1</v>
      </c>
      <c r="N660">
        <v>1</v>
      </c>
      <c r="O660">
        <v>1</v>
      </c>
      <c r="P660">
        <v>1</v>
      </c>
      <c r="Q660">
        <v>1</v>
      </c>
      <c r="R660">
        <v>1</v>
      </c>
      <c r="S660">
        <v>1</v>
      </c>
    </row>
    <row r="661" spans="1:19" x14ac:dyDescent="0.25">
      <c r="A661" s="1">
        <v>0.62816399305555559</v>
      </c>
      <c r="B661" t="s">
        <v>1</v>
      </c>
      <c r="C661">
        <v>660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1</v>
      </c>
      <c r="M661">
        <v>1</v>
      </c>
      <c r="N661">
        <v>1</v>
      </c>
      <c r="O661">
        <v>1</v>
      </c>
      <c r="P661">
        <v>1</v>
      </c>
      <c r="Q661">
        <v>1</v>
      </c>
      <c r="R661">
        <v>1</v>
      </c>
      <c r="S661">
        <v>1</v>
      </c>
    </row>
    <row r="662" spans="1:19" x14ac:dyDescent="0.25">
      <c r="A662" s="1">
        <v>0.62816413194444443</v>
      </c>
      <c r="B662" t="s">
        <v>1</v>
      </c>
      <c r="C662">
        <v>661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1</v>
      </c>
      <c r="M662">
        <v>1</v>
      </c>
      <c r="N662">
        <v>1</v>
      </c>
      <c r="O662">
        <v>1</v>
      </c>
      <c r="P662">
        <v>1</v>
      </c>
      <c r="Q662">
        <v>1</v>
      </c>
      <c r="R662">
        <v>1</v>
      </c>
      <c r="S662">
        <v>1</v>
      </c>
    </row>
    <row r="663" spans="1:19" x14ac:dyDescent="0.25">
      <c r="A663" s="1">
        <v>0.62816423611111116</v>
      </c>
      <c r="B663" t="s">
        <v>1</v>
      </c>
      <c r="C663">
        <v>662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1</v>
      </c>
      <c r="M663">
        <v>1</v>
      </c>
      <c r="N663">
        <v>1</v>
      </c>
      <c r="O663">
        <v>1</v>
      </c>
      <c r="P663">
        <v>1</v>
      </c>
      <c r="Q663">
        <v>1</v>
      </c>
      <c r="R663">
        <v>1</v>
      </c>
      <c r="S663">
        <v>1</v>
      </c>
    </row>
    <row r="664" spans="1:19" x14ac:dyDescent="0.25">
      <c r="A664" s="1">
        <v>0.62816434027777779</v>
      </c>
      <c r="B664" t="s">
        <v>1</v>
      </c>
      <c r="C664">
        <v>663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1</v>
      </c>
      <c r="M664">
        <v>1</v>
      </c>
      <c r="N664">
        <v>1</v>
      </c>
      <c r="O664">
        <v>1</v>
      </c>
      <c r="P664">
        <v>1</v>
      </c>
      <c r="Q664">
        <v>1</v>
      </c>
      <c r="R664">
        <v>1</v>
      </c>
      <c r="S664">
        <v>1</v>
      </c>
    </row>
    <row r="665" spans="1:19" x14ac:dyDescent="0.25">
      <c r="A665" s="1">
        <v>0.62816446759259259</v>
      </c>
      <c r="B665" t="s">
        <v>1</v>
      </c>
      <c r="C665">
        <v>664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1</v>
      </c>
      <c r="M665">
        <v>1</v>
      </c>
      <c r="N665">
        <v>1</v>
      </c>
      <c r="O665">
        <v>1</v>
      </c>
      <c r="P665">
        <v>1</v>
      </c>
      <c r="Q665">
        <v>1</v>
      </c>
      <c r="R665">
        <v>1</v>
      </c>
      <c r="S665">
        <v>1</v>
      </c>
    </row>
    <row r="666" spans="1:19" x14ac:dyDescent="0.25">
      <c r="A666" s="1">
        <v>0.62816458333333336</v>
      </c>
      <c r="B666" t="s">
        <v>1</v>
      </c>
      <c r="C666">
        <v>665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1</v>
      </c>
      <c r="M666">
        <v>1</v>
      </c>
      <c r="N666">
        <v>1</v>
      </c>
      <c r="O666">
        <v>1</v>
      </c>
      <c r="P666">
        <v>1</v>
      </c>
      <c r="Q666">
        <v>1</v>
      </c>
      <c r="R666">
        <v>1</v>
      </c>
      <c r="S666">
        <v>1</v>
      </c>
    </row>
    <row r="667" spans="1:19" x14ac:dyDescent="0.25">
      <c r="A667" s="1">
        <v>0.62816469907407413</v>
      </c>
      <c r="B667" t="s">
        <v>1</v>
      </c>
      <c r="C667">
        <v>666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1</v>
      </c>
      <c r="M667">
        <v>1</v>
      </c>
      <c r="N667">
        <v>1</v>
      </c>
      <c r="O667">
        <v>1</v>
      </c>
      <c r="P667">
        <v>1</v>
      </c>
      <c r="Q667">
        <v>1</v>
      </c>
      <c r="R667">
        <v>1</v>
      </c>
      <c r="S667">
        <v>1</v>
      </c>
    </row>
    <row r="668" spans="1:19" x14ac:dyDescent="0.25">
      <c r="A668" s="1">
        <v>0.62816481481481479</v>
      </c>
      <c r="B668" t="s">
        <v>1</v>
      </c>
      <c r="C668">
        <v>667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1</v>
      </c>
      <c r="M668">
        <v>1</v>
      </c>
      <c r="N668">
        <v>1</v>
      </c>
      <c r="O668">
        <v>1</v>
      </c>
      <c r="P668">
        <v>1</v>
      </c>
      <c r="Q668">
        <v>1</v>
      </c>
      <c r="R668">
        <v>1</v>
      </c>
      <c r="S668">
        <v>1</v>
      </c>
    </row>
    <row r="669" spans="1:19" x14ac:dyDescent="0.25">
      <c r="A669" s="1">
        <v>0.62816491898148152</v>
      </c>
      <c r="B669" t="s">
        <v>1</v>
      </c>
      <c r="C669">
        <v>668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1</v>
      </c>
      <c r="M669">
        <v>1</v>
      </c>
      <c r="N669">
        <v>1</v>
      </c>
      <c r="O669">
        <v>1</v>
      </c>
      <c r="P669">
        <v>1</v>
      </c>
      <c r="Q669">
        <v>1</v>
      </c>
      <c r="R669">
        <v>1</v>
      </c>
      <c r="S669">
        <v>1</v>
      </c>
    </row>
    <row r="670" spans="1:19" x14ac:dyDescent="0.25">
      <c r="A670" s="1">
        <v>0.62816503472222218</v>
      </c>
      <c r="B670" t="s">
        <v>1</v>
      </c>
      <c r="C670">
        <v>669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1</v>
      </c>
      <c r="M670">
        <v>1</v>
      </c>
      <c r="N670">
        <v>1</v>
      </c>
      <c r="O670">
        <v>1</v>
      </c>
      <c r="P670">
        <v>1</v>
      </c>
      <c r="Q670">
        <v>1</v>
      </c>
      <c r="R670">
        <v>1</v>
      </c>
      <c r="S670">
        <v>1</v>
      </c>
    </row>
    <row r="671" spans="1:19" x14ac:dyDescent="0.25">
      <c r="A671" s="1">
        <v>0.62816515046296295</v>
      </c>
      <c r="B671" t="s">
        <v>1</v>
      </c>
      <c r="C671">
        <v>670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1</v>
      </c>
      <c r="M671">
        <v>1</v>
      </c>
      <c r="N671">
        <v>1</v>
      </c>
      <c r="O671">
        <v>1</v>
      </c>
      <c r="P671">
        <v>1</v>
      </c>
      <c r="Q671">
        <v>1</v>
      </c>
      <c r="R671">
        <v>1</v>
      </c>
      <c r="S671">
        <v>1</v>
      </c>
    </row>
    <row r="672" spans="1:19" x14ac:dyDescent="0.25">
      <c r="A672" s="1">
        <v>0.62816527777777775</v>
      </c>
      <c r="B672" t="s">
        <v>1</v>
      </c>
      <c r="C672">
        <v>671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1</v>
      </c>
      <c r="M672">
        <v>1</v>
      </c>
      <c r="N672">
        <v>1</v>
      </c>
      <c r="O672">
        <v>1</v>
      </c>
      <c r="P672">
        <v>1</v>
      </c>
      <c r="Q672">
        <v>1</v>
      </c>
      <c r="R672">
        <v>1</v>
      </c>
      <c r="S672">
        <v>1</v>
      </c>
    </row>
    <row r="673" spans="1:19" x14ac:dyDescent="0.25">
      <c r="A673" s="1">
        <v>0.62816539351851852</v>
      </c>
      <c r="B673" t="s">
        <v>2</v>
      </c>
      <c r="C673">
        <v>672</v>
      </c>
      <c r="D673">
        <v>0</v>
      </c>
      <c r="E673">
        <v>1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1</v>
      </c>
      <c r="M673">
        <v>1</v>
      </c>
      <c r="N673">
        <v>1</v>
      </c>
      <c r="O673">
        <v>1</v>
      </c>
      <c r="P673">
        <v>1</v>
      </c>
      <c r="Q673">
        <v>1</v>
      </c>
      <c r="R673">
        <v>1</v>
      </c>
      <c r="S673">
        <v>1</v>
      </c>
    </row>
    <row r="674" spans="1:19" x14ac:dyDescent="0.25">
      <c r="A674" s="1">
        <v>0.62816550925925929</v>
      </c>
      <c r="B674" t="s">
        <v>2</v>
      </c>
      <c r="C674">
        <v>673</v>
      </c>
      <c r="D674">
        <v>0</v>
      </c>
      <c r="E674">
        <v>1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1</v>
      </c>
      <c r="M674">
        <v>1</v>
      </c>
      <c r="N674">
        <v>1</v>
      </c>
      <c r="O674">
        <v>1</v>
      </c>
      <c r="P674">
        <v>1</v>
      </c>
      <c r="Q674">
        <v>1</v>
      </c>
      <c r="R674">
        <v>1</v>
      </c>
      <c r="S674">
        <v>1</v>
      </c>
    </row>
    <row r="675" spans="1:19" x14ac:dyDescent="0.25">
      <c r="A675" s="1">
        <v>0.62816561342592592</v>
      </c>
      <c r="B675" t="s">
        <v>2</v>
      </c>
      <c r="C675">
        <v>674</v>
      </c>
      <c r="D675">
        <v>0</v>
      </c>
      <c r="E675">
        <v>1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1</v>
      </c>
      <c r="M675">
        <v>1</v>
      </c>
      <c r="N675">
        <v>1</v>
      </c>
      <c r="O675">
        <v>1</v>
      </c>
      <c r="P675">
        <v>1</v>
      </c>
      <c r="Q675">
        <v>1</v>
      </c>
      <c r="R675">
        <v>1</v>
      </c>
      <c r="S675">
        <v>1</v>
      </c>
    </row>
    <row r="676" spans="1:19" x14ac:dyDescent="0.25">
      <c r="A676" s="1">
        <v>0.62816572916666669</v>
      </c>
      <c r="B676" t="s">
        <v>2</v>
      </c>
      <c r="C676">
        <v>675</v>
      </c>
      <c r="D676">
        <v>0</v>
      </c>
      <c r="E676">
        <v>1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1</v>
      </c>
      <c r="M676">
        <v>1</v>
      </c>
      <c r="N676">
        <v>1</v>
      </c>
      <c r="O676">
        <v>1</v>
      </c>
      <c r="P676">
        <v>1</v>
      </c>
      <c r="Q676">
        <v>1</v>
      </c>
      <c r="R676">
        <v>1</v>
      </c>
      <c r="S676">
        <v>1</v>
      </c>
    </row>
    <row r="677" spans="1:19" x14ac:dyDescent="0.25">
      <c r="A677" s="1">
        <v>0.62816584490740746</v>
      </c>
      <c r="B677" t="s">
        <v>2</v>
      </c>
      <c r="C677">
        <v>676</v>
      </c>
      <c r="D677">
        <v>0</v>
      </c>
      <c r="E677">
        <v>1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1</v>
      </c>
      <c r="M677">
        <v>1</v>
      </c>
      <c r="N677">
        <v>1</v>
      </c>
      <c r="O677">
        <v>1</v>
      </c>
      <c r="P677">
        <v>1</v>
      </c>
      <c r="Q677">
        <v>1</v>
      </c>
      <c r="R677">
        <v>1</v>
      </c>
      <c r="S677">
        <v>1</v>
      </c>
    </row>
    <row r="678" spans="1:19" x14ac:dyDescent="0.25">
      <c r="A678" s="1">
        <v>0.62816596064814811</v>
      </c>
      <c r="B678" t="s">
        <v>2</v>
      </c>
      <c r="C678">
        <v>677</v>
      </c>
      <c r="D678">
        <v>0</v>
      </c>
      <c r="E678">
        <v>1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1</v>
      </c>
      <c r="M678">
        <v>1</v>
      </c>
      <c r="N678">
        <v>1</v>
      </c>
      <c r="O678">
        <v>1</v>
      </c>
      <c r="P678">
        <v>1</v>
      </c>
      <c r="Q678">
        <v>1</v>
      </c>
      <c r="R678">
        <v>1</v>
      </c>
      <c r="S678">
        <v>1</v>
      </c>
    </row>
    <row r="679" spans="1:19" x14ac:dyDescent="0.25">
      <c r="A679" s="1">
        <v>0.62816607638888888</v>
      </c>
      <c r="B679" t="s">
        <v>2</v>
      </c>
      <c r="C679">
        <v>678</v>
      </c>
      <c r="D679">
        <v>0</v>
      </c>
      <c r="E679">
        <v>1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1</v>
      </c>
      <c r="M679">
        <v>1</v>
      </c>
      <c r="N679">
        <v>1</v>
      </c>
      <c r="O679">
        <v>1</v>
      </c>
      <c r="P679">
        <v>1</v>
      </c>
      <c r="Q679">
        <v>1</v>
      </c>
      <c r="R679">
        <v>1</v>
      </c>
      <c r="S679">
        <v>1</v>
      </c>
    </row>
    <row r="680" spans="1:19" x14ac:dyDescent="0.25">
      <c r="A680" s="1">
        <v>0.62816619212962965</v>
      </c>
      <c r="B680" t="s">
        <v>2</v>
      </c>
      <c r="C680">
        <v>679</v>
      </c>
      <c r="D680">
        <v>0</v>
      </c>
      <c r="E680">
        <v>1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1</v>
      </c>
      <c r="M680">
        <v>1</v>
      </c>
      <c r="N680">
        <v>1</v>
      </c>
      <c r="O680">
        <v>1</v>
      </c>
      <c r="P680">
        <v>1</v>
      </c>
      <c r="Q680">
        <v>1</v>
      </c>
      <c r="R680">
        <v>1</v>
      </c>
      <c r="S680">
        <v>1</v>
      </c>
    </row>
    <row r="681" spans="1:19" x14ac:dyDescent="0.25">
      <c r="A681" s="1">
        <v>0.62816630787037042</v>
      </c>
      <c r="B681" t="s">
        <v>1</v>
      </c>
      <c r="C681">
        <v>680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1</v>
      </c>
      <c r="M681">
        <v>1</v>
      </c>
      <c r="N681">
        <v>1</v>
      </c>
      <c r="O681">
        <v>1</v>
      </c>
      <c r="P681">
        <v>1</v>
      </c>
      <c r="Q681">
        <v>1</v>
      </c>
      <c r="R681">
        <v>1</v>
      </c>
      <c r="S681">
        <v>1</v>
      </c>
    </row>
    <row r="682" spans="1:19" x14ac:dyDescent="0.25">
      <c r="A682" s="1">
        <v>0.62816642361111108</v>
      </c>
      <c r="B682" t="s">
        <v>1</v>
      </c>
      <c r="C682">
        <v>681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1</v>
      </c>
      <c r="M682">
        <v>1</v>
      </c>
      <c r="N682">
        <v>1</v>
      </c>
      <c r="O682">
        <v>1</v>
      </c>
      <c r="P682">
        <v>1</v>
      </c>
      <c r="Q682">
        <v>1</v>
      </c>
      <c r="R682">
        <v>1</v>
      </c>
      <c r="S682">
        <v>1</v>
      </c>
    </row>
    <row r="683" spans="1:19" x14ac:dyDescent="0.25">
      <c r="A683" s="1">
        <v>0.62816653935185185</v>
      </c>
      <c r="B683" t="s">
        <v>1</v>
      </c>
      <c r="C683">
        <v>682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1</v>
      </c>
      <c r="M683">
        <v>1</v>
      </c>
      <c r="N683">
        <v>1</v>
      </c>
      <c r="O683">
        <v>1</v>
      </c>
      <c r="P683">
        <v>1</v>
      </c>
      <c r="Q683">
        <v>1</v>
      </c>
      <c r="R683">
        <v>1</v>
      </c>
      <c r="S683">
        <v>1</v>
      </c>
    </row>
    <row r="684" spans="1:19" x14ac:dyDescent="0.25">
      <c r="A684" s="1">
        <v>0.62816665509259262</v>
      </c>
      <c r="B684" t="s">
        <v>1</v>
      </c>
      <c r="C684">
        <v>683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1</v>
      </c>
      <c r="M684">
        <v>1</v>
      </c>
      <c r="N684">
        <v>1</v>
      </c>
      <c r="O684">
        <v>1</v>
      </c>
      <c r="P684">
        <v>1</v>
      </c>
      <c r="Q684">
        <v>1</v>
      </c>
      <c r="R684">
        <v>1</v>
      </c>
      <c r="S684">
        <v>1</v>
      </c>
    </row>
    <row r="685" spans="1:19" x14ac:dyDescent="0.25">
      <c r="A685" s="1">
        <v>0.62816677083333339</v>
      </c>
      <c r="B685" t="s">
        <v>1</v>
      </c>
      <c r="C685">
        <v>684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1</v>
      </c>
      <c r="M685">
        <v>1</v>
      </c>
      <c r="N685">
        <v>1</v>
      </c>
      <c r="O685">
        <v>1</v>
      </c>
      <c r="P685">
        <v>1</v>
      </c>
      <c r="Q685">
        <v>1</v>
      </c>
      <c r="R685">
        <v>1</v>
      </c>
      <c r="S685">
        <v>1</v>
      </c>
    </row>
    <row r="686" spans="1:19" x14ac:dyDescent="0.25">
      <c r="A686" s="1">
        <v>0.62816688657407405</v>
      </c>
      <c r="B686" t="s">
        <v>1</v>
      </c>
      <c r="C686">
        <v>685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1</v>
      </c>
      <c r="M686">
        <v>1</v>
      </c>
      <c r="N686">
        <v>1</v>
      </c>
      <c r="O686">
        <v>1</v>
      </c>
      <c r="P686">
        <v>1</v>
      </c>
      <c r="Q686">
        <v>1</v>
      </c>
      <c r="R686">
        <v>1</v>
      </c>
      <c r="S686">
        <v>1</v>
      </c>
    </row>
    <row r="687" spans="1:19" x14ac:dyDescent="0.25">
      <c r="A687" s="1">
        <v>0.62816700231481482</v>
      </c>
      <c r="B687" t="s">
        <v>1</v>
      </c>
      <c r="C687">
        <v>686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1</v>
      </c>
      <c r="M687">
        <v>1</v>
      </c>
      <c r="N687">
        <v>1</v>
      </c>
      <c r="O687">
        <v>1</v>
      </c>
      <c r="P687">
        <v>1</v>
      </c>
      <c r="Q687">
        <v>1</v>
      </c>
      <c r="R687">
        <v>1</v>
      </c>
      <c r="S687">
        <v>1</v>
      </c>
    </row>
    <row r="688" spans="1:19" x14ac:dyDescent="0.25">
      <c r="A688" s="1">
        <v>0.62816711805555558</v>
      </c>
      <c r="B688" t="s">
        <v>1</v>
      </c>
      <c r="C688">
        <v>687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1</v>
      </c>
      <c r="M688">
        <v>1</v>
      </c>
      <c r="N688">
        <v>1</v>
      </c>
      <c r="O688">
        <v>1</v>
      </c>
      <c r="P688">
        <v>1</v>
      </c>
      <c r="Q688">
        <v>1</v>
      </c>
      <c r="R688">
        <v>1</v>
      </c>
      <c r="S688">
        <v>1</v>
      </c>
    </row>
    <row r="689" spans="1:19" x14ac:dyDescent="0.25">
      <c r="A689" s="1">
        <v>0.62816723379629624</v>
      </c>
      <c r="B689" t="s">
        <v>1</v>
      </c>
      <c r="C689">
        <v>688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1</v>
      </c>
      <c r="M689">
        <v>1</v>
      </c>
      <c r="N689">
        <v>1</v>
      </c>
      <c r="O689">
        <v>1</v>
      </c>
      <c r="P689">
        <v>1</v>
      </c>
      <c r="Q689">
        <v>1</v>
      </c>
      <c r="R689">
        <v>1</v>
      </c>
      <c r="S689">
        <v>1</v>
      </c>
    </row>
    <row r="690" spans="1:19" x14ac:dyDescent="0.25">
      <c r="A690" s="1">
        <v>0.62816734953703701</v>
      </c>
      <c r="B690" t="s">
        <v>1</v>
      </c>
      <c r="C690">
        <v>689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1</v>
      </c>
      <c r="M690">
        <v>1</v>
      </c>
      <c r="N690">
        <v>1</v>
      </c>
      <c r="O690">
        <v>1</v>
      </c>
      <c r="P690">
        <v>1</v>
      </c>
      <c r="Q690">
        <v>1</v>
      </c>
      <c r="R690">
        <v>1</v>
      </c>
      <c r="S690">
        <v>1</v>
      </c>
    </row>
    <row r="691" spans="1:19" x14ac:dyDescent="0.25">
      <c r="A691" s="1">
        <v>0.62816746527777778</v>
      </c>
      <c r="B691" t="s">
        <v>1</v>
      </c>
      <c r="C691">
        <v>690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1</v>
      </c>
      <c r="M691">
        <v>1</v>
      </c>
      <c r="N691">
        <v>1</v>
      </c>
      <c r="O691">
        <v>1</v>
      </c>
      <c r="P691">
        <v>1</v>
      </c>
      <c r="Q691">
        <v>1</v>
      </c>
      <c r="R691">
        <v>1</v>
      </c>
      <c r="S691">
        <v>1</v>
      </c>
    </row>
    <row r="692" spans="1:19" x14ac:dyDescent="0.25">
      <c r="A692" s="1">
        <v>0.62816758101851855</v>
      </c>
      <c r="B692" t="s">
        <v>1</v>
      </c>
      <c r="C692">
        <v>691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1</v>
      </c>
      <c r="M692">
        <v>1</v>
      </c>
      <c r="N692">
        <v>1</v>
      </c>
      <c r="O692">
        <v>1</v>
      </c>
      <c r="P692">
        <v>1</v>
      </c>
      <c r="Q692">
        <v>1</v>
      </c>
      <c r="R692">
        <v>1</v>
      </c>
      <c r="S692">
        <v>1</v>
      </c>
    </row>
    <row r="693" spans="1:19" x14ac:dyDescent="0.25">
      <c r="A693" s="1">
        <v>0.62816770833333335</v>
      </c>
      <c r="B693" t="s">
        <v>1</v>
      </c>
      <c r="C693">
        <v>692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1</v>
      </c>
      <c r="M693">
        <v>1</v>
      </c>
      <c r="N693">
        <v>1</v>
      </c>
      <c r="O693">
        <v>1</v>
      </c>
      <c r="P693">
        <v>1</v>
      </c>
      <c r="Q693">
        <v>1</v>
      </c>
      <c r="R693">
        <v>1</v>
      </c>
      <c r="S693">
        <v>1</v>
      </c>
    </row>
    <row r="694" spans="1:19" x14ac:dyDescent="0.25">
      <c r="A694" s="1">
        <v>0.62816781249999998</v>
      </c>
      <c r="B694" t="s">
        <v>1</v>
      </c>
      <c r="C694">
        <v>693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1</v>
      </c>
      <c r="M694">
        <v>1</v>
      </c>
      <c r="N694">
        <v>1</v>
      </c>
      <c r="O694">
        <v>1</v>
      </c>
      <c r="P694">
        <v>1</v>
      </c>
      <c r="Q694">
        <v>1</v>
      </c>
      <c r="R694">
        <v>1</v>
      </c>
      <c r="S694">
        <v>1</v>
      </c>
    </row>
    <row r="695" spans="1:19" x14ac:dyDescent="0.25">
      <c r="A695" s="1">
        <v>0.62816792824074075</v>
      </c>
      <c r="B695" t="s">
        <v>1</v>
      </c>
      <c r="C695">
        <v>694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1</v>
      </c>
      <c r="M695">
        <v>1</v>
      </c>
      <c r="N695">
        <v>1</v>
      </c>
      <c r="O695">
        <v>1</v>
      </c>
      <c r="P695">
        <v>1</v>
      </c>
      <c r="Q695">
        <v>1</v>
      </c>
      <c r="R695">
        <v>1</v>
      </c>
      <c r="S695">
        <v>1</v>
      </c>
    </row>
    <row r="696" spans="1:19" x14ac:dyDescent="0.25">
      <c r="A696" s="1">
        <v>0.62816804398148152</v>
      </c>
      <c r="B696" t="s">
        <v>1</v>
      </c>
      <c r="C696">
        <v>695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1</v>
      </c>
      <c r="M696">
        <v>1</v>
      </c>
      <c r="N696">
        <v>1</v>
      </c>
      <c r="O696">
        <v>1</v>
      </c>
      <c r="P696">
        <v>1</v>
      </c>
      <c r="Q696">
        <v>1</v>
      </c>
      <c r="R696">
        <v>1</v>
      </c>
      <c r="S696">
        <v>1</v>
      </c>
    </row>
    <row r="697" spans="1:19" x14ac:dyDescent="0.25">
      <c r="A697" s="1">
        <v>0.62816815972222217</v>
      </c>
      <c r="B697" t="s">
        <v>1</v>
      </c>
      <c r="C697">
        <v>696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1</v>
      </c>
      <c r="M697">
        <v>1</v>
      </c>
      <c r="N697">
        <v>1</v>
      </c>
      <c r="O697">
        <v>1</v>
      </c>
      <c r="P697">
        <v>1</v>
      </c>
      <c r="Q697">
        <v>1</v>
      </c>
      <c r="R697">
        <v>1</v>
      </c>
      <c r="S697">
        <v>1</v>
      </c>
    </row>
    <row r="698" spans="1:19" x14ac:dyDescent="0.25">
      <c r="A698" s="1">
        <v>0.62816827546296294</v>
      </c>
      <c r="B698" t="s">
        <v>1</v>
      </c>
      <c r="C698">
        <v>697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1</v>
      </c>
      <c r="M698">
        <v>1</v>
      </c>
      <c r="N698">
        <v>1</v>
      </c>
      <c r="O698">
        <v>1</v>
      </c>
      <c r="P698">
        <v>1</v>
      </c>
      <c r="Q698">
        <v>1</v>
      </c>
      <c r="R698">
        <v>1</v>
      </c>
      <c r="S698">
        <v>1</v>
      </c>
    </row>
    <row r="699" spans="1:19" x14ac:dyDescent="0.25">
      <c r="A699" s="1">
        <v>0.62816839120370371</v>
      </c>
      <c r="B699" t="s">
        <v>1</v>
      </c>
      <c r="C699">
        <v>698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1</v>
      </c>
      <c r="M699">
        <v>1</v>
      </c>
      <c r="N699">
        <v>1</v>
      </c>
      <c r="O699">
        <v>1</v>
      </c>
      <c r="P699">
        <v>1</v>
      </c>
      <c r="Q699">
        <v>1</v>
      </c>
      <c r="R699">
        <v>1</v>
      </c>
      <c r="S699">
        <v>1</v>
      </c>
    </row>
    <row r="700" spans="1:19" x14ac:dyDescent="0.25">
      <c r="A700" s="1">
        <v>0.62816850694444448</v>
      </c>
      <c r="B700" t="s">
        <v>1</v>
      </c>
      <c r="C700">
        <v>699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1</v>
      </c>
      <c r="M700">
        <v>1</v>
      </c>
      <c r="N700">
        <v>1</v>
      </c>
      <c r="O700">
        <v>1</v>
      </c>
      <c r="P700">
        <v>1</v>
      </c>
      <c r="Q700">
        <v>1</v>
      </c>
      <c r="R700">
        <v>1</v>
      </c>
      <c r="S700">
        <v>1</v>
      </c>
    </row>
    <row r="701" spans="1:19" x14ac:dyDescent="0.25">
      <c r="A701" s="1">
        <v>0.62816862268518514</v>
      </c>
      <c r="B701" t="s">
        <v>1</v>
      </c>
      <c r="C701">
        <v>700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1</v>
      </c>
      <c r="M701">
        <v>1</v>
      </c>
      <c r="N701">
        <v>1</v>
      </c>
      <c r="O701">
        <v>1</v>
      </c>
      <c r="P701">
        <v>1</v>
      </c>
      <c r="Q701">
        <v>1</v>
      </c>
      <c r="R701">
        <v>1</v>
      </c>
      <c r="S701">
        <v>1</v>
      </c>
    </row>
    <row r="702" spans="1:19" x14ac:dyDescent="0.25">
      <c r="A702" s="1">
        <v>0.62816873842592591</v>
      </c>
      <c r="B702" t="s">
        <v>1</v>
      </c>
      <c r="C702">
        <v>701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1</v>
      </c>
      <c r="M702">
        <v>1</v>
      </c>
      <c r="N702">
        <v>1</v>
      </c>
      <c r="O702">
        <v>1</v>
      </c>
      <c r="P702">
        <v>1</v>
      </c>
      <c r="Q702">
        <v>1</v>
      </c>
      <c r="R702">
        <v>1</v>
      </c>
      <c r="S702">
        <v>1</v>
      </c>
    </row>
    <row r="703" spans="1:19" x14ac:dyDescent="0.25">
      <c r="A703" s="1">
        <v>0.62816885416666668</v>
      </c>
      <c r="B703" t="s">
        <v>1</v>
      </c>
      <c r="C703">
        <v>702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1</v>
      </c>
      <c r="M703">
        <v>1</v>
      </c>
      <c r="N703">
        <v>1</v>
      </c>
      <c r="O703">
        <v>1</v>
      </c>
      <c r="P703">
        <v>1</v>
      </c>
      <c r="Q703">
        <v>1</v>
      </c>
      <c r="R703">
        <v>1</v>
      </c>
      <c r="S703">
        <v>1</v>
      </c>
    </row>
    <row r="704" spans="1:19" x14ac:dyDescent="0.25">
      <c r="A704" s="1">
        <v>0.62816896990740745</v>
      </c>
      <c r="B704" t="s">
        <v>1</v>
      </c>
      <c r="C704">
        <v>703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1</v>
      </c>
      <c r="M704">
        <v>1</v>
      </c>
      <c r="N704">
        <v>1</v>
      </c>
      <c r="O704">
        <v>1</v>
      </c>
      <c r="P704">
        <v>1</v>
      </c>
      <c r="Q704">
        <v>1</v>
      </c>
      <c r="R704">
        <v>1</v>
      </c>
      <c r="S704">
        <v>1</v>
      </c>
    </row>
    <row r="705" spans="1:19" x14ac:dyDescent="0.25">
      <c r="A705" s="1">
        <v>0.62816908564814811</v>
      </c>
      <c r="B705" t="s">
        <v>1</v>
      </c>
      <c r="C705">
        <v>704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1</v>
      </c>
      <c r="M705">
        <v>1</v>
      </c>
      <c r="N705">
        <v>1</v>
      </c>
      <c r="O705">
        <v>1</v>
      </c>
      <c r="P705">
        <v>1</v>
      </c>
      <c r="Q705">
        <v>1</v>
      </c>
      <c r="R705">
        <v>1</v>
      </c>
      <c r="S705">
        <v>1</v>
      </c>
    </row>
    <row r="706" spans="1:19" x14ac:dyDescent="0.25">
      <c r="A706" s="1">
        <v>0.62816920138888888</v>
      </c>
      <c r="B706" t="s">
        <v>1</v>
      </c>
      <c r="C706">
        <v>705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1</v>
      </c>
      <c r="M706">
        <v>1</v>
      </c>
      <c r="N706">
        <v>1</v>
      </c>
      <c r="O706">
        <v>1</v>
      </c>
      <c r="P706">
        <v>1</v>
      </c>
      <c r="Q706">
        <v>1</v>
      </c>
      <c r="R706">
        <v>1</v>
      </c>
      <c r="S706">
        <v>1</v>
      </c>
    </row>
    <row r="707" spans="1:19" x14ac:dyDescent="0.25">
      <c r="A707" s="1">
        <v>0.62816931712962965</v>
      </c>
      <c r="B707" t="s">
        <v>1</v>
      </c>
      <c r="C707">
        <v>706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1</v>
      </c>
      <c r="M707">
        <v>1</v>
      </c>
      <c r="N707">
        <v>1</v>
      </c>
      <c r="O707">
        <v>1</v>
      </c>
      <c r="P707">
        <v>1</v>
      </c>
      <c r="Q707">
        <v>1</v>
      </c>
      <c r="R707">
        <v>1</v>
      </c>
      <c r="S707">
        <v>1</v>
      </c>
    </row>
    <row r="708" spans="1:19" x14ac:dyDescent="0.25">
      <c r="A708" s="1">
        <v>0.62816943287037041</v>
      </c>
      <c r="B708" t="s">
        <v>1</v>
      </c>
      <c r="C708">
        <v>707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1</v>
      </c>
      <c r="M708">
        <v>1</v>
      </c>
      <c r="N708">
        <v>1</v>
      </c>
      <c r="O708">
        <v>1</v>
      </c>
      <c r="P708">
        <v>1</v>
      </c>
      <c r="Q708">
        <v>1</v>
      </c>
      <c r="R708">
        <v>1</v>
      </c>
      <c r="S708">
        <v>1</v>
      </c>
    </row>
    <row r="709" spans="1:19" x14ac:dyDescent="0.25">
      <c r="A709" s="1">
        <v>0.62816954861111107</v>
      </c>
      <c r="B709" t="s">
        <v>1</v>
      </c>
      <c r="C709">
        <v>708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1</v>
      </c>
      <c r="M709">
        <v>1</v>
      </c>
      <c r="N709">
        <v>1</v>
      </c>
      <c r="O709">
        <v>1</v>
      </c>
      <c r="P709">
        <v>1</v>
      </c>
      <c r="Q709">
        <v>1</v>
      </c>
      <c r="R709">
        <v>1</v>
      </c>
      <c r="S709">
        <v>1</v>
      </c>
    </row>
    <row r="710" spans="1:19" x14ac:dyDescent="0.25">
      <c r="A710" s="1">
        <v>0.62816966435185184</v>
      </c>
      <c r="B710" t="s">
        <v>1</v>
      </c>
      <c r="C710">
        <v>709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1</v>
      </c>
      <c r="M710">
        <v>1</v>
      </c>
      <c r="N710">
        <v>1</v>
      </c>
      <c r="O710">
        <v>1</v>
      </c>
      <c r="P710">
        <v>1</v>
      </c>
      <c r="Q710">
        <v>1</v>
      </c>
      <c r="R710">
        <v>1</v>
      </c>
      <c r="S710">
        <v>1</v>
      </c>
    </row>
    <row r="711" spans="1:19" x14ac:dyDescent="0.25">
      <c r="A711" s="1">
        <v>0.62816978009259261</v>
      </c>
      <c r="B711" t="s">
        <v>1</v>
      </c>
      <c r="C711">
        <v>710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1</v>
      </c>
      <c r="M711">
        <v>1</v>
      </c>
      <c r="N711">
        <v>1</v>
      </c>
      <c r="O711">
        <v>1</v>
      </c>
      <c r="P711">
        <v>1</v>
      </c>
      <c r="Q711">
        <v>1</v>
      </c>
      <c r="R711">
        <v>1</v>
      </c>
      <c r="S711">
        <v>1</v>
      </c>
    </row>
    <row r="712" spans="1:19" x14ac:dyDescent="0.25">
      <c r="A712" s="1">
        <v>0.62817001157407404</v>
      </c>
      <c r="B712" t="s">
        <v>1</v>
      </c>
      <c r="C712">
        <v>711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1</v>
      </c>
      <c r="M712">
        <v>1</v>
      </c>
      <c r="N712">
        <v>1</v>
      </c>
      <c r="O712">
        <v>1</v>
      </c>
      <c r="P712">
        <v>1</v>
      </c>
      <c r="Q712">
        <v>1</v>
      </c>
      <c r="R712">
        <v>1</v>
      </c>
      <c r="S712">
        <v>1</v>
      </c>
    </row>
    <row r="713" spans="1:19" x14ac:dyDescent="0.25">
      <c r="A713" s="1">
        <v>0.62817012731481481</v>
      </c>
      <c r="B713" t="s">
        <v>1</v>
      </c>
      <c r="C713">
        <v>712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1</v>
      </c>
      <c r="M713">
        <v>1</v>
      </c>
      <c r="N713">
        <v>1</v>
      </c>
      <c r="O713">
        <v>1</v>
      </c>
      <c r="P713">
        <v>1</v>
      </c>
      <c r="Q713">
        <v>1</v>
      </c>
      <c r="R713">
        <v>1</v>
      </c>
      <c r="S713">
        <v>1</v>
      </c>
    </row>
    <row r="714" spans="1:19" x14ac:dyDescent="0.25">
      <c r="A714" s="1">
        <v>0.62817024305555558</v>
      </c>
      <c r="B714" t="s">
        <v>1</v>
      </c>
      <c r="C714">
        <v>713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1</v>
      </c>
      <c r="M714">
        <v>1</v>
      </c>
      <c r="N714">
        <v>1</v>
      </c>
      <c r="O714">
        <v>1</v>
      </c>
      <c r="P714">
        <v>1</v>
      </c>
      <c r="Q714">
        <v>1</v>
      </c>
      <c r="R714">
        <v>1</v>
      </c>
      <c r="S714">
        <v>1</v>
      </c>
    </row>
    <row r="715" spans="1:19" x14ac:dyDescent="0.25">
      <c r="A715" s="1">
        <v>0.62817035879629635</v>
      </c>
      <c r="B715" t="s">
        <v>1</v>
      </c>
      <c r="C715">
        <v>714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1</v>
      </c>
      <c r="M715">
        <v>1</v>
      </c>
      <c r="N715">
        <v>1</v>
      </c>
      <c r="O715">
        <v>1</v>
      </c>
      <c r="P715">
        <v>1</v>
      </c>
      <c r="Q715">
        <v>1</v>
      </c>
      <c r="R715">
        <v>1</v>
      </c>
      <c r="S715">
        <v>1</v>
      </c>
    </row>
    <row r="716" spans="1:19" x14ac:dyDescent="0.25">
      <c r="A716" s="1">
        <v>0.628170474537037</v>
      </c>
      <c r="B716" t="s">
        <v>1</v>
      </c>
      <c r="C716">
        <v>715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1</v>
      </c>
      <c r="M716">
        <v>1</v>
      </c>
      <c r="N716">
        <v>1</v>
      </c>
      <c r="O716">
        <v>1</v>
      </c>
      <c r="P716">
        <v>1</v>
      </c>
      <c r="Q716">
        <v>1</v>
      </c>
      <c r="R716">
        <v>1</v>
      </c>
      <c r="S716">
        <v>1</v>
      </c>
    </row>
    <row r="717" spans="1:19" x14ac:dyDescent="0.25">
      <c r="A717" s="1">
        <v>0.62817059027777777</v>
      </c>
      <c r="B717" t="s">
        <v>1</v>
      </c>
      <c r="C717">
        <v>716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1</v>
      </c>
      <c r="M717">
        <v>1</v>
      </c>
      <c r="N717">
        <v>1</v>
      </c>
      <c r="O717">
        <v>1</v>
      </c>
      <c r="P717">
        <v>1</v>
      </c>
      <c r="Q717">
        <v>1</v>
      </c>
      <c r="R717">
        <v>1</v>
      </c>
      <c r="S717">
        <v>1</v>
      </c>
    </row>
    <row r="718" spans="1:19" x14ac:dyDescent="0.25">
      <c r="A718" s="1">
        <v>0.62817070601851854</v>
      </c>
      <c r="B718" t="s">
        <v>1</v>
      </c>
      <c r="C718">
        <v>717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1</v>
      </c>
      <c r="M718">
        <v>1</v>
      </c>
      <c r="N718">
        <v>1</v>
      </c>
      <c r="O718">
        <v>1</v>
      </c>
      <c r="P718">
        <v>1</v>
      </c>
      <c r="Q718">
        <v>1</v>
      </c>
      <c r="R718">
        <v>1</v>
      </c>
      <c r="S718">
        <v>1</v>
      </c>
    </row>
    <row r="719" spans="1:19" x14ac:dyDescent="0.25">
      <c r="A719" s="1">
        <v>0.62817082175925931</v>
      </c>
      <c r="B719" t="s">
        <v>1</v>
      </c>
      <c r="C719">
        <v>718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1</v>
      </c>
      <c r="M719">
        <v>1</v>
      </c>
      <c r="N719">
        <v>1</v>
      </c>
      <c r="O719">
        <v>1</v>
      </c>
      <c r="P719">
        <v>1</v>
      </c>
      <c r="Q719">
        <v>1</v>
      </c>
      <c r="R719">
        <v>1</v>
      </c>
      <c r="S719">
        <v>1</v>
      </c>
    </row>
    <row r="720" spans="1:19" x14ac:dyDescent="0.25">
      <c r="A720" s="1">
        <v>0.62817093749999997</v>
      </c>
      <c r="B720" t="s">
        <v>1</v>
      </c>
      <c r="C720">
        <v>719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1</v>
      </c>
      <c r="M720">
        <v>1</v>
      </c>
      <c r="N720">
        <v>1</v>
      </c>
      <c r="O720">
        <v>1</v>
      </c>
      <c r="P720">
        <v>1</v>
      </c>
      <c r="Q720">
        <v>1</v>
      </c>
      <c r="R720">
        <v>1</v>
      </c>
      <c r="S720">
        <v>1</v>
      </c>
    </row>
    <row r="721" spans="1:19" x14ac:dyDescent="0.25">
      <c r="A721" s="1">
        <v>0.62817105324074074</v>
      </c>
      <c r="B721" t="s">
        <v>1</v>
      </c>
      <c r="C721">
        <v>720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1</v>
      </c>
      <c r="M721">
        <v>1</v>
      </c>
      <c r="N721">
        <v>1</v>
      </c>
      <c r="O721">
        <v>1</v>
      </c>
      <c r="P721">
        <v>1</v>
      </c>
      <c r="Q721">
        <v>1</v>
      </c>
      <c r="R721">
        <v>1</v>
      </c>
      <c r="S721">
        <v>1</v>
      </c>
    </row>
    <row r="722" spans="1:19" x14ac:dyDescent="0.25">
      <c r="A722" s="1">
        <v>0.62817116898148151</v>
      </c>
      <c r="B722" t="s">
        <v>1</v>
      </c>
      <c r="C722">
        <v>721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1</v>
      </c>
      <c r="M722">
        <v>1</v>
      </c>
      <c r="N722">
        <v>1</v>
      </c>
      <c r="O722">
        <v>1</v>
      </c>
      <c r="P722">
        <v>1</v>
      </c>
      <c r="Q722">
        <v>1</v>
      </c>
      <c r="R722">
        <v>1</v>
      </c>
      <c r="S722">
        <v>1</v>
      </c>
    </row>
    <row r="723" spans="1:19" x14ac:dyDescent="0.25">
      <c r="A723" s="1">
        <v>0.62817128472222217</v>
      </c>
      <c r="B723" t="s">
        <v>1</v>
      </c>
      <c r="C723">
        <v>722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1</v>
      </c>
      <c r="M723">
        <v>1</v>
      </c>
      <c r="N723">
        <v>1</v>
      </c>
      <c r="O723">
        <v>1</v>
      </c>
      <c r="P723">
        <v>1</v>
      </c>
      <c r="Q723">
        <v>1</v>
      </c>
      <c r="R723">
        <v>1</v>
      </c>
      <c r="S723">
        <v>1</v>
      </c>
    </row>
    <row r="724" spans="1:19" x14ac:dyDescent="0.25">
      <c r="A724" s="1">
        <v>0.62817140046296294</v>
      </c>
      <c r="B724" t="s">
        <v>1</v>
      </c>
      <c r="C724">
        <v>723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1</v>
      </c>
      <c r="M724">
        <v>1</v>
      </c>
      <c r="N724">
        <v>1</v>
      </c>
      <c r="O724">
        <v>1</v>
      </c>
      <c r="P724">
        <v>1</v>
      </c>
      <c r="Q724">
        <v>1</v>
      </c>
      <c r="R724">
        <v>1</v>
      </c>
      <c r="S724">
        <v>1</v>
      </c>
    </row>
    <row r="725" spans="1:19" x14ac:dyDescent="0.25">
      <c r="A725" s="1">
        <v>0.62817151620370371</v>
      </c>
      <c r="B725" t="s">
        <v>1</v>
      </c>
      <c r="C725">
        <v>724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1</v>
      </c>
      <c r="M725">
        <v>1</v>
      </c>
      <c r="N725">
        <v>1</v>
      </c>
      <c r="O725">
        <v>1</v>
      </c>
      <c r="P725">
        <v>1</v>
      </c>
      <c r="Q725">
        <v>1</v>
      </c>
      <c r="R725">
        <v>1</v>
      </c>
      <c r="S725">
        <v>1</v>
      </c>
    </row>
    <row r="726" spans="1:19" x14ac:dyDescent="0.25">
      <c r="A726" s="1">
        <v>0.62817163194444448</v>
      </c>
      <c r="B726" t="s">
        <v>1</v>
      </c>
      <c r="C726">
        <v>725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1</v>
      </c>
      <c r="M726">
        <v>1</v>
      </c>
      <c r="N726">
        <v>1</v>
      </c>
      <c r="O726">
        <v>1</v>
      </c>
      <c r="P726">
        <v>1</v>
      </c>
      <c r="Q726">
        <v>1</v>
      </c>
      <c r="R726">
        <v>1</v>
      </c>
      <c r="S726">
        <v>1</v>
      </c>
    </row>
    <row r="727" spans="1:19" x14ac:dyDescent="0.25">
      <c r="A727" s="1">
        <v>0.6281717361111111</v>
      </c>
      <c r="B727" t="s">
        <v>1</v>
      </c>
      <c r="C727">
        <v>726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1</v>
      </c>
      <c r="Q727">
        <v>1</v>
      </c>
      <c r="R727">
        <v>1</v>
      </c>
      <c r="S727">
        <v>1</v>
      </c>
    </row>
    <row r="728" spans="1:19" x14ac:dyDescent="0.25">
      <c r="A728" s="1">
        <v>0.6281718634259259</v>
      </c>
      <c r="B728" t="s">
        <v>1</v>
      </c>
      <c r="C728">
        <v>727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1</v>
      </c>
      <c r="M728">
        <v>1</v>
      </c>
      <c r="N728">
        <v>1</v>
      </c>
      <c r="O728">
        <v>1</v>
      </c>
      <c r="P728">
        <v>1</v>
      </c>
      <c r="Q728">
        <v>1</v>
      </c>
      <c r="R728">
        <v>1</v>
      </c>
      <c r="S728">
        <v>1</v>
      </c>
    </row>
    <row r="729" spans="1:19" x14ac:dyDescent="0.25">
      <c r="A729" s="1">
        <v>0.62817196759259264</v>
      </c>
      <c r="B729" t="s">
        <v>1</v>
      </c>
      <c r="C729">
        <v>728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1</v>
      </c>
      <c r="M729">
        <v>1</v>
      </c>
      <c r="N729">
        <v>1</v>
      </c>
      <c r="O729">
        <v>1</v>
      </c>
      <c r="P729">
        <v>1</v>
      </c>
      <c r="Q729">
        <v>1</v>
      </c>
      <c r="R729">
        <v>1</v>
      </c>
      <c r="S729">
        <v>1</v>
      </c>
    </row>
    <row r="730" spans="1:19" x14ac:dyDescent="0.25">
      <c r="A730" s="1">
        <v>0.6281720833333333</v>
      </c>
      <c r="B730" t="s">
        <v>1</v>
      </c>
      <c r="C730">
        <v>729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1</v>
      </c>
      <c r="M730">
        <v>1</v>
      </c>
      <c r="N730">
        <v>1</v>
      </c>
      <c r="O730">
        <v>1</v>
      </c>
      <c r="P730">
        <v>1</v>
      </c>
      <c r="Q730">
        <v>1</v>
      </c>
      <c r="R730">
        <v>1</v>
      </c>
      <c r="S730">
        <v>1</v>
      </c>
    </row>
    <row r="731" spans="1:19" x14ac:dyDescent="0.25">
      <c r="A731" s="1">
        <v>0.62817219907407407</v>
      </c>
      <c r="B731" t="s">
        <v>1</v>
      </c>
      <c r="C731">
        <v>730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1</v>
      </c>
      <c r="Q731">
        <v>1</v>
      </c>
      <c r="R731">
        <v>1</v>
      </c>
      <c r="S731">
        <v>1</v>
      </c>
    </row>
    <row r="732" spans="1:19" x14ac:dyDescent="0.25">
      <c r="A732" s="1">
        <v>0.62817231481481484</v>
      </c>
      <c r="B732" t="s">
        <v>2</v>
      </c>
      <c r="C732">
        <v>731</v>
      </c>
      <c r="D732">
        <v>0</v>
      </c>
      <c r="E732">
        <v>1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1</v>
      </c>
      <c r="M732">
        <v>1</v>
      </c>
      <c r="N732">
        <v>1</v>
      </c>
      <c r="O732">
        <v>1</v>
      </c>
      <c r="P732">
        <v>1</v>
      </c>
      <c r="Q732">
        <v>1</v>
      </c>
      <c r="R732">
        <v>1</v>
      </c>
      <c r="S732">
        <v>1</v>
      </c>
    </row>
    <row r="733" spans="1:19" x14ac:dyDescent="0.25">
      <c r="A733" s="1">
        <v>0.62817243055555561</v>
      </c>
      <c r="B733" t="s">
        <v>2</v>
      </c>
      <c r="C733">
        <v>732</v>
      </c>
      <c r="D733">
        <v>0</v>
      </c>
      <c r="E733">
        <v>1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1</v>
      </c>
      <c r="M733">
        <v>1</v>
      </c>
      <c r="N733">
        <v>1</v>
      </c>
      <c r="O733">
        <v>1</v>
      </c>
      <c r="P733">
        <v>1</v>
      </c>
      <c r="Q733">
        <v>1</v>
      </c>
      <c r="R733">
        <v>1</v>
      </c>
      <c r="S733">
        <v>1</v>
      </c>
    </row>
    <row r="734" spans="1:19" x14ac:dyDescent="0.25">
      <c r="A734" s="1">
        <v>0.62817254629629626</v>
      </c>
      <c r="B734" t="s">
        <v>2</v>
      </c>
      <c r="C734">
        <v>733</v>
      </c>
      <c r="D734">
        <v>0</v>
      </c>
      <c r="E734">
        <v>1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1</v>
      </c>
      <c r="M734">
        <v>1</v>
      </c>
      <c r="N734">
        <v>1</v>
      </c>
      <c r="O734">
        <v>1</v>
      </c>
      <c r="P734">
        <v>1</v>
      </c>
      <c r="Q734">
        <v>1</v>
      </c>
      <c r="R734">
        <v>1</v>
      </c>
      <c r="S734">
        <v>1</v>
      </c>
    </row>
    <row r="735" spans="1:19" x14ac:dyDescent="0.25">
      <c r="A735" s="1">
        <v>0.62817266203703703</v>
      </c>
      <c r="B735" t="s">
        <v>2</v>
      </c>
      <c r="C735">
        <v>734</v>
      </c>
      <c r="D735">
        <v>0</v>
      </c>
      <c r="E735">
        <v>1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1</v>
      </c>
      <c r="M735">
        <v>1</v>
      </c>
      <c r="N735">
        <v>1</v>
      </c>
      <c r="O735">
        <v>1</v>
      </c>
      <c r="P735">
        <v>1</v>
      </c>
      <c r="Q735">
        <v>1</v>
      </c>
      <c r="R735">
        <v>1</v>
      </c>
      <c r="S735">
        <v>1</v>
      </c>
    </row>
    <row r="736" spans="1:19" x14ac:dyDescent="0.25">
      <c r="A736" s="1">
        <v>0.6281727777777778</v>
      </c>
      <c r="B736" t="s">
        <v>2</v>
      </c>
      <c r="C736">
        <v>735</v>
      </c>
      <c r="D736">
        <v>0</v>
      </c>
      <c r="E736">
        <v>1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1</v>
      </c>
      <c r="M736">
        <v>1</v>
      </c>
      <c r="N736">
        <v>1</v>
      </c>
      <c r="O736">
        <v>1</v>
      </c>
      <c r="P736">
        <v>1</v>
      </c>
      <c r="Q736">
        <v>1</v>
      </c>
      <c r="R736">
        <v>1</v>
      </c>
      <c r="S736">
        <v>1</v>
      </c>
    </row>
    <row r="737" spans="1:19" x14ac:dyDescent="0.25">
      <c r="A737" s="1">
        <v>0.62817289351851857</v>
      </c>
      <c r="B737" t="s">
        <v>2</v>
      </c>
      <c r="C737">
        <v>736</v>
      </c>
      <c r="D737">
        <v>0</v>
      </c>
      <c r="E737">
        <v>1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1</v>
      </c>
      <c r="M737">
        <v>1</v>
      </c>
      <c r="N737">
        <v>1</v>
      </c>
      <c r="O737">
        <v>1</v>
      </c>
      <c r="P737">
        <v>1</v>
      </c>
      <c r="Q737">
        <v>1</v>
      </c>
      <c r="R737">
        <v>1</v>
      </c>
      <c r="S737">
        <v>1</v>
      </c>
    </row>
    <row r="738" spans="1:19" x14ac:dyDescent="0.25">
      <c r="A738" s="1">
        <v>0.62817300925925923</v>
      </c>
      <c r="B738" t="s">
        <v>2</v>
      </c>
      <c r="C738">
        <v>737</v>
      </c>
      <c r="D738">
        <v>0</v>
      </c>
      <c r="E738">
        <v>1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1</v>
      </c>
      <c r="M738">
        <v>1</v>
      </c>
      <c r="N738">
        <v>1</v>
      </c>
      <c r="O738">
        <v>1</v>
      </c>
      <c r="P738">
        <v>1</v>
      </c>
      <c r="Q738">
        <v>1</v>
      </c>
      <c r="R738">
        <v>1</v>
      </c>
      <c r="S738">
        <v>1</v>
      </c>
    </row>
    <row r="739" spans="1:19" x14ac:dyDescent="0.25">
      <c r="A739" s="1">
        <v>0.628173125</v>
      </c>
      <c r="B739" t="s">
        <v>2</v>
      </c>
      <c r="C739">
        <v>738</v>
      </c>
      <c r="D739">
        <v>0</v>
      </c>
      <c r="E739">
        <v>1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1</v>
      </c>
      <c r="M739">
        <v>1</v>
      </c>
      <c r="N739">
        <v>1</v>
      </c>
      <c r="O739">
        <v>1</v>
      </c>
      <c r="P739">
        <v>1</v>
      </c>
      <c r="Q739">
        <v>1</v>
      </c>
      <c r="R739">
        <v>1</v>
      </c>
      <c r="S739">
        <v>1</v>
      </c>
    </row>
    <row r="740" spans="1:19" x14ac:dyDescent="0.25">
      <c r="A740" s="1">
        <v>0.6281732523148148</v>
      </c>
      <c r="B740" t="s">
        <v>1</v>
      </c>
      <c r="C740">
        <v>739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1</v>
      </c>
      <c r="M740">
        <v>1</v>
      </c>
      <c r="N740">
        <v>1</v>
      </c>
      <c r="O740">
        <v>1</v>
      </c>
      <c r="P740">
        <v>1</v>
      </c>
      <c r="Q740">
        <v>1</v>
      </c>
      <c r="R740">
        <v>1</v>
      </c>
      <c r="S740">
        <v>1</v>
      </c>
    </row>
    <row r="741" spans="1:19" x14ac:dyDescent="0.25">
      <c r="A741" s="1">
        <v>0.62817335648148143</v>
      </c>
      <c r="B741" t="s">
        <v>1</v>
      </c>
      <c r="C741">
        <v>740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1</v>
      </c>
      <c r="M741">
        <v>1</v>
      </c>
      <c r="N741">
        <v>1</v>
      </c>
      <c r="O741">
        <v>1</v>
      </c>
      <c r="P741">
        <v>1</v>
      </c>
      <c r="Q741">
        <v>1</v>
      </c>
      <c r="R741">
        <v>1</v>
      </c>
      <c r="S741">
        <v>1</v>
      </c>
    </row>
    <row r="742" spans="1:19" x14ac:dyDescent="0.25">
      <c r="A742" s="1">
        <v>0.62817348379629634</v>
      </c>
      <c r="B742" t="s">
        <v>1</v>
      </c>
      <c r="C742">
        <v>741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1</v>
      </c>
      <c r="M742">
        <v>1</v>
      </c>
      <c r="N742">
        <v>1</v>
      </c>
      <c r="O742">
        <v>1</v>
      </c>
      <c r="P742">
        <v>1</v>
      </c>
      <c r="Q742">
        <v>1</v>
      </c>
      <c r="R742">
        <v>1</v>
      </c>
      <c r="S742">
        <v>1</v>
      </c>
    </row>
    <row r="743" spans="1:19" x14ac:dyDescent="0.25">
      <c r="A743" s="1">
        <v>0.62817358796296296</v>
      </c>
      <c r="B743" t="s">
        <v>1</v>
      </c>
      <c r="C743">
        <v>742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1</v>
      </c>
      <c r="M743">
        <v>1</v>
      </c>
      <c r="N743">
        <v>1</v>
      </c>
      <c r="O743">
        <v>1</v>
      </c>
      <c r="P743">
        <v>1</v>
      </c>
      <c r="Q743">
        <v>1</v>
      </c>
      <c r="R743">
        <v>1</v>
      </c>
      <c r="S743">
        <v>1</v>
      </c>
    </row>
    <row r="744" spans="1:19" x14ac:dyDescent="0.25">
      <c r="A744" s="1">
        <v>0.62817371527777777</v>
      </c>
      <c r="B744" t="s">
        <v>1</v>
      </c>
      <c r="C744">
        <v>743</v>
      </c>
      <c r="D744">
        <v>0</v>
      </c>
      <c r="E744">
        <v>0</v>
      </c>
      <c r="F744">
        <v>0</v>
      </c>
      <c r="G744">
        <v>0</v>
      </c>
      <c r="H744">
        <v>0</v>
      </c>
      <c r="I744">
        <v>0</v>
      </c>
      <c r="J744">
        <v>0</v>
      </c>
      <c r="K744">
        <v>0</v>
      </c>
      <c r="L744">
        <v>1</v>
      </c>
      <c r="M744">
        <v>1</v>
      </c>
      <c r="N744">
        <v>1</v>
      </c>
      <c r="O744">
        <v>1</v>
      </c>
      <c r="P744">
        <v>1</v>
      </c>
      <c r="Q744">
        <v>1</v>
      </c>
      <c r="R744">
        <v>1</v>
      </c>
      <c r="S744">
        <v>1</v>
      </c>
    </row>
    <row r="745" spans="1:19" x14ac:dyDescent="0.25">
      <c r="A745" s="1">
        <v>0.62817381944444439</v>
      </c>
      <c r="B745" t="s">
        <v>1</v>
      </c>
      <c r="C745">
        <v>744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1</v>
      </c>
      <c r="M745">
        <v>1</v>
      </c>
      <c r="N745">
        <v>1</v>
      </c>
      <c r="O745">
        <v>1</v>
      </c>
      <c r="P745">
        <v>1</v>
      </c>
      <c r="Q745">
        <v>1</v>
      </c>
      <c r="R745">
        <v>1</v>
      </c>
      <c r="S745">
        <v>1</v>
      </c>
    </row>
    <row r="746" spans="1:19" x14ac:dyDescent="0.25">
      <c r="A746" s="1">
        <v>0.62817393518518516</v>
      </c>
      <c r="B746" t="s">
        <v>1</v>
      </c>
      <c r="C746">
        <v>745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1</v>
      </c>
      <c r="M746">
        <v>1</v>
      </c>
      <c r="N746">
        <v>1</v>
      </c>
      <c r="O746">
        <v>1</v>
      </c>
      <c r="P746">
        <v>1</v>
      </c>
      <c r="Q746">
        <v>1</v>
      </c>
      <c r="R746">
        <v>1</v>
      </c>
      <c r="S746">
        <v>1</v>
      </c>
    </row>
    <row r="747" spans="1:19" x14ac:dyDescent="0.25">
      <c r="A747" s="1">
        <v>0.62817405092592593</v>
      </c>
      <c r="B747" t="s">
        <v>1</v>
      </c>
      <c r="C747">
        <v>746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1</v>
      </c>
      <c r="M747">
        <v>1</v>
      </c>
      <c r="N747">
        <v>1</v>
      </c>
      <c r="O747">
        <v>1</v>
      </c>
      <c r="P747">
        <v>1</v>
      </c>
      <c r="Q747">
        <v>1</v>
      </c>
      <c r="R747">
        <v>1</v>
      </c>
      <c r="S747">
        <v>1</v>
      </c>
    </row>
    <row r="748" spans="1:19" x14ac:dyDescent="0.25">
      <c r="A748" s="1">
        <v>0.6281741666666667</v>
      </c>
      <c r="B748" t="s">
        <v>1</v>
      </c>
      <c r="C748">
        <v>747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1</v>
      </c>
      <c r="M748">
        <v>1</v>
      </c>
      <c r="N748">
        <v>1</v>
      </c>
      <c r="O748">
        <v>1</v>
      </c>
      <c r="P748">
        <v>1</v>
      </c>
      <c r="Q748">
        <v>1</v>
      </c>
      <c r="R748">
        <v>1</v>
      </c>
      <c r="S748">
        <v>1</v>
      </c>
    </row>
    <row r="749" spans="1:19" x14ac:dyDescent="0.25">
      <c r="A749" s="1">
        <v>0.62817428240740736</v>
      </c>
      <c r="B749" t="s">
        <v>1</v>
      </c>
      <c r="C749">
        <v>748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1</v>
      </c>
      <c r="M749">
        <v>1</v>
      </c>
      <c r="N749">
        <v>1</v>
      </c>
      <c r="O749">
        <v>1</v>
      </c>
      <c r="P749">
        <v>1</v>
      </c>
      <c r="Q749">
        <v>1</v>
      </c>
      <c r="R749">
        <v>1</v>
      </c>
      <c r="S749">
        <v>1</v>
      </c>
    </row>
    <row r="750" spans="1:19" x14ac:dyDescent="0.25">
      <c r="A750" s="1">
        <v>0.62817439814814813</v>
      </c>
      <c r="B750" t="s">
        <v>1</v>
      </c>
      <c r="C750">
        <v>749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1</v>
      </c>
      <c r="M750">
        <v>1</v>
      </c>
      <c r="N750">
        <v>1</v>
      </c>
      <c r="O750">
        <v>1</v>
      </c>
      <c r="P750">
        <v>1</v>
      </c>
      <c r="Q750">
        <v>1</v>
      </c>
      <c r="R750">
        <v>1</v>
      </c>
      <c r="S750">
        <v>1</v>
      </c>
    </row>
    <row r="751" spans="1:19" x14ac:dyDescent="0.25">
      <c r="A751" s="1">
        <v>0.6281745138888889</v>
      </c>
      <c r="B751" t="s">
        <v>1</v>
      </c>
      <c r="C751">
        <v>750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1</v>
      </c>
      <c r="M751">
        <v>1</v>
      </c>
      <c r="N751">
        <v>1</v>
      </c>
      <c r="O751">
        <v>1</v>
      </c>
      <c r="P751">
        <v>1</v>
      </c>
      <c r="Q751">
        <v>1</v>
      </c>
      <c r="R751">
        <v>1</v>
      </c>
      <c r="S751">
        <v>1</v>
      </c>
    </row>
    <row r="752" spans="1:19" x14ac:dyDescent="0.25">
      <c r="A752" s="1">
        <v>0.62817462962962967</v>
      </c>
      <c r="B752" t="s">
        <v>1</v>
      </c>
      <c r="C752">
        <v>751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1</v>
      </c>
      <c r="M752">
        <v>1</v>
      </c>
      <c r="N752">
        <v>1</v>
      </c>
      <c r="O752">
        <v>1</v>
      </c>
      <c r="P752">
        <v>1</v>
      </c>
      <c r="Q752">
        <v>1</v>
      </c>
      <c r="R752">
        <v>1</v>
      </c>
      <c r="S752">
        <v>1</v>
      </c>
    </row>
    <row r="753" spans="1:19" x14ac:dyDescent="0.25">
      <c r="A753" s="1">
        <v>0.62817474537037032</v>
      </c>
      <c r="B753" t="s">
        <v>1</v>
      </c>
      <c r="C753">
        <v>752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1</v>
      </c>
      <c r="M753">
        <v>1</v>
      </c>
      <c r="N753">
        <v>1</v>
      </c>
      <c r="O753">
        <v>1</v>
      </c>
      <c r="P753">
        <v>1</v>
      </c>
      <c r="Q753">
        <v>1</v>
      </c>
      <c r="R753">
        <v>1</v>
      </c>
      <c r="S753">
        <v>1</v>
      </c>
    </row>
    <row r="754" spans="1:19" x14ac:dyDescent="0.25">
      <c r="A754" s="1">
        <v>0.62817486111111109</v>
      </c>
      <c r="B754" t="s">
        <v>1</v>
      </c>
      <c r="C754">
        <v>753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1</v>
      </c>
      <c r="M754">
        <v>1</v>
      </c>
      <c r="N754">
        <v>1</v>
      </c>
      <c r="O754">
        <v>1</v>
      </c>
      <c r="P754">
        <v>1</v>
      </c>
      <c r="Q754">
        <v>1</v>
      </c>
      <c r="R754">
        <v>1</v>
      </c>
      <c r="S754">
        <v>1</v>
      </c>
    </row>
    <row r="755" spans="1:19" x14ac:dyDescent="0.25">
      <c r="A755" s="1">
        <v>0.62817497685185186</v>
      </c>
      <c r="B755" t="s">
        <v>1</v>
      </c>
      <c r="C755">
        <v>754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1</v>
      </c>
      <c r="M755">
        <v>1</v>
      </c>
      <c r="N755">
        <v>1</v>
      </c>
      <c r="O755">
        <v>1</v>
      </c>
      <c r="P755">
        <v>1</v>
      </c>
      <c r="Q755">
        <v>1</v>
      </c>
      <c r="R755">
        <v>1</v>
      </c>
      <c r="S755">
        <v>1</v>
      </c>
    </row>
    <row r="756" spans="1:19" x14ac:dyDescent="0.25">
      <c r="A756" s="1">
        <v>0.62817509259259263</v>
      </c>
      <c r="B756" t="s">
        <v>1</v>
      </c>
      <c r="C756">
        <v>755</v>
      </c>
      <c r="D756">
        <v>0</v>
      </c>
      <c r="E756">
        <v>0</v>
      </c>
      <c r="F756">
        <v>0</v>
      </c>
      <c r="G756">
        <v>0</v>
      </c>
      <c r="H756">
        <v>0</v>
      </c>
      <c r="I756">
        <v>0</v>
      </c>
      <c r="J756">
        <v>0</v>
      </c>
      <c r="K756">
        <v>0</v>
      </c>
      <c r="L756">
        <v>1</v>
      </c>
      <c r="M756">
        <v>1</v>
      </c>
      <c r="N756">
        <v>1</v>
      </c>
      <c r="O756">
        <v>1</v>
      </c>
      <c r="P756">
        <v>1</v>
      </c>
      <c r="Q756">
        <v>1</v>
      </c>
      <c r="R756">
        <v>1</v>
      </c>
      <c r="S756">
        <v>1</v>
      </c>
    </row>
    <row r="757" spans="1:19" x14ac:dyDescent="0.25">
      <c r="A757" s="1">
        <v>0.62817520833333329</v>
      </c>
      <c r="B757" t="s">
        <v>1</v>
      </c>
      <c r="C757">
        <v>756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1</v>
      </c>
      <c r="M757">
        <v>1</v>
      </c>
      <c r="N757">
        <v>1</v>
      </c>
      <c r="O757">
        <v>1</v>
      </c>
      <c r="P757">
        <v>1</v>
      </c>
      <c r="Q757">
        <v>1</v>
      </c>
      <c r="R757">
        <v>1</v>
      </c>
      <c r="S757">
        <v>1</v>
      </c>
    </row>
    <row r="758" spans="1:19" x14ac:dyDescent="0.25">
      <c r="A758" s="1">
        <v>0.62817532407407406</v>
      </c>
      <c r="B758" t="s">
        <v>1</v>
      </c>
      <c r="C758">
        <v>757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1</v>
      </c>
      <c r="M758">
        <v>1</v>
      </c>
      <c r="N758">
        <v>1</v>
      </c>
      <c r="O758">
        <v>1</v>
      </c>
      <c r="P758">
        <v>1</v>
      </c>
      <c r="Q758">
        <v>1</v>
      </c>
      <c r="R758">
        <v>1</v>
      </c>
      <c r="S758">
        <v>1</v>
      </c>
    </row>
    <row r="759" spans="1:19" x14ac:dyDescent="0.25">
      <c r="A759" s="1">
        <v>0.62817543981481483</v>
      </c>
      <c r="B759" t="s">
        <v>1</v>
      </c>
      <c r="C759">
        <v>758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1</v>
      </c>
      <c r="M759">
        <v>1</v>
      </c>
      <c r="N759">
        <v>1</v>
      </c>
      <c r="O759">
        <v>1</v>
      </c>
      <c r="P759">
        <v>1</v>
      </c>
      <c r="Q759">
        <v>1</v>
      </c>
      <c r="R759">
        <v>1</v>
      </c>
      <c r="S759">
        <v>1</v>
      </c>
    </row>
    <row r="760" spans="1:19" x14ac:dyDescent="0.25">
      <c r="A760" s="1">
        <v>0.6281755555555556</v>
      </c>
      <c r="B760" t="s">
        <v>1</v>
      </c>
      <c r="C760">
        <v>759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1</v>
      </c>
      <c r="M760">
        <v>1</v>
      </c>
      <c r="N760">
        <v>1</v>
      </c>
      <c r="O760">
        <v>1</v>
      </c>
      <c r="P760">
        <v>1</v>
      </c>
      <c r="Q760">
        <v>1</v>
      </c>
      <c r="R760">
        <v>1</v>
      </c>
      <c r="S760">
        <v>1</v>
      </c>
    </row>
    <row r="761" spans="1:19" x14ac:dyDescent="0.25">
      <c r="A761" s="1">
        <v>0.62817567129629626</v>
      </c>
      <c r="B761" t="s">
        <v>1</v>
      </c>
      <c r="C761">
        <v>760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1</v>
      </c>
      <c r="M761">
        <v>1</v>
      </c>
      <c r="N761">
        <v>1</v>
      </c>
      <c r="O761">
        <v>1</v>
      </c>
      <c r="P761">
        <v>1</v>
      </c>
      <c r="Q761">
        <v>1</v>
      </c>
      <c r="R761">
        <v>1</v>
      </c>
      <c r="S761">
        <v>1</v>
      </c>
    </row>
    <row r="762" spans="1:19" x14ac:dyDescent="0.25">
      <c r="A762" s="1">
        <v>0.62817578703703703</v>
      </c>
      <c r="B762" t="s">
        <v>1</v>
      </c>
      <c r="C762">
        <v>761</v>
      </c>
      <c r="D762">
        <v>0</v>
      </c>
      <c r="E762">
        <v>0</v>
      </c>
      <c r="F762">
        <v>0</v>
      </c>
      <c r="G762">
        <v>0</v>
      </c>
      <c r="H762">
        <v>0</v>
      </c>
      <c r="I762">
        <v>0</v>
      </c>
      <c r="J762">
        <v>0</v>
      </c>
      <c r="K762">
        <v>0</v>
      </c>
      <c r="L762">
        <v>1</v>
      </c>
      <c r="M762">
        <v>1</v>
      </c>
      <c r="N762">
        <v>1</v>
      </c>
      <c r="O762">
        <v>1</v>
      </c>
      <c r="P762">
        <v>1</v>
      </c>
      <c r="Q762">
        <v>1</v>
      </c>
      <c r="R762">
        <v>1</v>
      </c>
      <c r="S762">
        <v>1</v>
      </c>
    </row>
    <row r="763" spans="1:19" x14ac:dyDescent="0.25">
      <c r="A763" s="1">
        <v>0.62817590277777779</v>
      </c>
      <c r="B763" t="s">
        <v>1</v>
      </c>
      <c r="C763">
        <v>762</v>
      </c>
      <c r="D763">
        <v>0</v>
      </c>
      <c r="E763">
        <v>0</v>
      </c>
      <c r="F763">
        <v>0</v>
      </c>
      <c r="G763">
        <v>0</v>
      </c>
      <c r="H763">
        <v>0</v>
      </c>
      <c r="I763">
        <v>0</v>
      </c>
      <c r="J763">
        <v>0</v>
      </c>
      <c r="K763">
        <v>0</v>
      </c>
      <c r="L763">
        <v>1</v>
      </c>
      <c r="M763">
        <v>1</v>
      </c>
      <c r="N763">
        <v>1</v>
      </c>
      <c r="O763">
        <v>1</v>
      </c>
      <c r="P763">
        <v>1</v>
      </c>
      <c r="Q763">
        <v>1</v>
      </c>
      <c r="R763">
        <v>1</v>
      </c>
      <c r="S763">
        <v>1</v>
      </c>
    </row>
    <row r="764" spans="1:19" x14ac:dyDescent="0.25">
      <c r="A764" s="1">
        <v>0.62817601851851856</v>
      </c>
      <c r="B764" t="s">
        <v>1</v>
      </c>
      <c r="C764">
        <v>763</v>
      </c>
      <c r="D764">
        <v>0</v>
      </c>
      <c r="E764">
        <v>0</v>
      </c>
      <c r="F764">
        <v>0</v>
      </c>
      <c r="G764">
        <v>0</v>
      </c>
      <c r="H764">
        <v>0</v>
      </c>
      <c r="I764">
        <v>0</v>
      </c>
      <c r="J764">
        <v>0</v>
      </c>
      <c r="K764">
        <v>0</v>
      </c>
      <c r="L764">
        <v>1</v>
      </c>
      <c r="M764">
        <v>1</v>
      </c>
      <c r="N764">
        <v>1</v>
      </c>
      <c r="O764">
        <v>1</v>
      </c>
      <c r="P764">
        <v>1</v>
      </c>
      <c r="Q764">
        <v>1</v>
      </c>
      <c r="R764">
        <v>1</v>
      </c>
      <c r="S764">
        <v>1</v>
      </c>
    </row>
    <row r="765" spans="1:19" x14ac:dyDescent="0.25">
      <c r="A765" s="1">
        <v>0.62817613425925922</v>
      </c>
      <c r="B765" t="s">
        <v>1</v>
      </c>
      <c r="C765">
        <v>764</v>
      </c>
      <c r="D765">
        <v>0</v>
      </c>
      <c r="E765">
        <v>0</v>
      </c>
      <c r="F765">
        <v>0</v>
      </c>
      <c r="G765">
        <v>0</v>
      </c>
      <c r="H765">
        <v>0</v>
      </c>
      <c r="I765">
        <v>0</v>
      </c>
      <c r="J765">
        <v>0</v>
      </c>
      <c r="K765">
        <v>0</v>
      </c>
      <c r="L765">
        <v>1</v>
      </c>
      <c r="M765">
        <v>1</v>
      </c>
      <c r="N765">
        <v>1</v>
      </c>
      <c r="O765">
        <v>1</v>
      </c>
      <c r="P765">
        <v>1</v>
      </c>
      <c r="Q765">
        <v>1</v>
      </c>
      <c r="R765">
        <v>1</v>
      </c>
      <c r="S765">
        <v>1</v>
      </c>
    </row>
    <row r="766" spans="1:19" x14ac:dyDescent="0.25">
      <c r="A766" s="1">
        <v>0.62817624999999999</v>
      </c>
      <c r="B766" t="s">
        <v>1</v>
      </c>
      <c r="C766">
        <v>765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1</v>
      </c>
      <c r="M766">
        <v>1</v>
      </c>
      <c r="N766">
        <v>1</v>
      </c>
      <c r="O766">
        <v>1</v>
      </c>
      <c r="P766">
        <v>1</v>
      </c>
      <c r="Q766">
        <v>1</v>
      </c>
      <c r="R766">
        <v>1</v>
      </c>
      <c r="S766">
        <v>1</v>
      </c>
    </row>
    <row r="767" spans="1:19" x14ac:dyDescent="0.25">
      <c r="A767" s="1">
        <v>0.62817636574074076</v>
      </c>
      <c r="B767" t="s">
        <v>1</v>
      </c>
      <c r="C767">
        <v>766</v>
      </c>
      <c r="D767">
        <v>0</v>
      </c>
      <c r="E767">
        <v>0</v>
      </c>
      <c r="F767">
        <v>0</v>
      </c>
      <c r="G767">
        <v>0</v>
      </c>
      <c r="H767">
        <v>0</v>
      </c>
      <c r="I767">
        <v>0</v>
      </c>
      <c r="J767">
        <v>0</v>
      </c>
      <c r="K767">
        <v>0</v>
      </c>
      <c r="L767">
        <v>1</v>
      </c>
      <c r="M767">
        <v>1</v>
      </c>
      <c r="N767">
        <v>1</v>
      </c>
      <c r="O767">
        <v>1</v>
      </c>
      <c r="P767">
        <v>1</v>
      </c>
      <c r="Q767">
        <v>1</v>
      </c>
      <c r="R767">
        <v>1</v>
      </c>
      <c r="S767">
        <v>1</v>
      </c>
    </row>
    <row r="768" spans="1:19" x14ac:dyDescent="0.25">
      <c r="A768" s="1">
        <v>0.62817648148148153</v>
      </c>
      <c r="B768" t="s">
        <v>1</v>
      </c>
      <c r="C768">
        <v>767</v>
      </c>
      <c r="D768">
        <v>0</v>
      </c>
      <c r="E768">
        <v>0</v>
      </c>
      <c r="F768">
        <v>0</v>
      </c>
      <c r="G768">
        <v>0</v>
      </c>
      <c r="H768">
        <v>0</v>
      </c>
      <c r="I768">
        <v>0</v>
      </c>
      <c r="J768">
        <v>0</v>
      </c>
      <c r="K768">
        <v>0</v>
      </c>
      <c r="L768">
        <v>1</v>
      </c>
      <c r="M768">
        <v>1</v>
      </c>
      <c r="N768">
        <v>1</v>
      </c>
      <c r="O768">
        <v>1</v>
      </c>
      <c r="P768">
        <v>1</v>
      </c>
      <c r="Q768">
        <v>1</v>
      </c>
      <c r="R768">
        <v>1</v>
      </c>
      <c r="S768">
        <v>1</v>
      </c>
    </row>
    <row r="769" spans="1:19" x14ac:dyDescent="0.25">
      <c r="A769" s="1">
        <v>0.62817659722222219</v>
      </c>
      <c r="B769" t="s">
        <v>1</v>
      </c>
      <c r="C769">
        <v>768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1</v>
      </c>
      <c r="M769">
        <v>1</v>
      </c>
      <c r="N769">
        <v>1</v>
      </c>
      <c r="O769">
        <v>1</v>
      </c>
      <c r="P769">
        <v>1</v>
      </c>
      <c r="Q769">
        <v>1</v>
      </c>
      <c r="R769">
        <v>1</v>
      </c>
      <c r="S769">
        <v>1</v>
      </c>
    </row>
    <row r="770" spans="1:19" x14ac:dyDescent="0.25">
      <c r="A770" s="1">
        <v>0.62817671296296296</v>
      </c>
      <c r="B770" t="s">
        <v>1</v>
      </c>
      <c r="C770">
        <v>769</v>
      </c>
      <c r="D770">
        <v>0</v>
      </c>
      <c r="E770">
        <v>0</v>
      </c>
      <c r="F770">
        <v>0</v>
      </c>
      <c r="G770">
        <v>0</v>
      </c>
      <c r="H770">
        <v>0</v>
      </c>
      <c r="I770">
        <v>0</v>
      </c>
      <c r="J770">
        <v>0</v>
      </c>
      <c r="K770">
        <v>0</v>
      </c>
      <c r="L770">
        <v>1</v>
      </c>
      <c r="M770">
        <v>1</v>
      </c>
      <c r="N770">
        <v>1</v>
      </c>
      <c r="O770">
        <v>1</v>
      </c>
      <c r="P770">
        <v>1</v>
      </c>
      <c r="Q770">
        <v>1</v>
      </c>
      <c r="R770">
        <v>1</v>
      </c>
      <c r="S770">
        <v>1</v>
      </c>
    </row>
    <row r="771" spans="1:19" x14ac:dyDescent="0.25">
      <c r="A771" s="1">
        <v>0.62817682870370373</v>
      </c>
      <c r="B771" t="s">
        <v>1</v>
      </c>
      <c r="C771">
        <v>770</v>
      </c>
      <c r="D771">
        <v>0</v>
      </c>
      <c r="E771">
        <v>0</v>
      </c>
      <c r="F771">
        <v>0</v>
      </c>
      <c r="G771">
        <v>0</v>
      </c>
      <c r="H771">
        <v>0</v>
      </c>
      <c r="I771">
        <v>0</v>
      </c>
      <c r="J771">
        <v>0</v>
      </c>
      <c r="K771">
        <v>0</v>
      </c>
      <c r="L771">
        <v>1</v>
      </c>
      <c r="M771">
        <v>1</v>
      </c>
      <c r="N771">
        <v>1</v>
      </c>
      <c r="O771">
        <v>1</v>
      </c>
      <c r="P771">
        <v>1</v>
      </c>
      <c r="Q771">
        <v>1</v>
      </c>
      <c r="R771">
        <v>1</v>
      </c>
      <c r="S771">
        <v>1</v>
      </c>
    </row>
    <row r="772" spans="1:19" x14ac:dyDescent="0.25">
      <c r="A772" s="1">
        <v>0.6281769444444445</v>
      </c>
      <c r="B772" t="s">
        <v>1</v>
      </c>
      <c r="C772">
        <v>771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1</v>
      </c>
      <c r="M772">
        <v>1</v>
      </c>
      <c r="N772">
        <v>1</v>
      </c>
      <c r="O772">
        <v>1</v>
      </c>
      <c r="P772">
        <v>1</v>
      </c>
      <c r="Q772">
        <v>1</v>
      </c>
      <c r="R772">
        <v>1</v>
      </c>
      <c r="S772">
        <v>1</v>
      </c>
    </row>
    <row r="773" spans="1:19" x14ac:dyDescent="0.25">
      <c r="A773" s="1">
        <v>0.62817706018518515</v>
      </c>
      <c r="B773" t="s">
        <v>1</v>
      </c>
      <c r="C773">
        <v>772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1</v>
      </c>
      <c r="M773">
        <v>1</v>
      </c>
      <c r="N773">
        <v>1</v>
      </c>
      <c r="O773">
        <v>1</v>
      </c>
      <c r="P773">
        <v>1</v>
      </c>
      <c r="Q773">
        <v>1</v>
      </c>
      <c r="R773">
        <v>1</v>
      </c>
      <c r="S773">
        <v>1</v>
      </c>
    </row>
    <row r="774" spans="1:19" x14ac:dyDescent="0.25">
      <c r="A774" s="1">
        <v>0.62817717592592592</v>
      </c>
      <c r="B774" t="s">
        <v>1</v>
      </c>
      <c r="C774">
        <v>773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1</v>
      </c>
      <c r="M774">
        <v>1</v>
      </c>
      <c r="N774">
        <v>1</v>
      </c>
      <c r="O774">
        <v>1</v>
      </c>
      <c r="P774">
        <v>1</v>
      </c>
      <c r="Q774">
        <v>1</v>
      </c>
      <c r="R774">
        <v>1</v>
      </c>
      <c r="S774">
        <v>1</v>
      </c>
    </row>
    <row r="775" spans="1:19" x14ac:dyDescent="0.25">
      <c r="A775" s="1">
        <v>0.62817729166666669</v>
      </c>
      <c r="B775" t="s">
        <v>1</v>
      </c>
      <c r="C775">
        <v>774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1</v>
      </c>
      <c r="M775">
        <v>1</v>
      </c>
      <c r="N775">
        <v>1</v>
      </c>
      <c r="O775">
        <v>1</v>
      </c>
      <c r="P775">
        <v>1</v>
      </c>
      <c r="Q775">
        <v>1</v>
      </c>
      <c r="R775">
        <v>1</v>
      </c>
      <c r="S775">
        <v>1</v>
      </c>
    </row>
    <row r="776" spans="1:19" x14ac:dyDescent="0.25">
      <c r="A776" s="1">
        <v>0.62817740740740746</v>
      </c>
      <c r="B776" t="s">
        <v>1</v>
      </c>
      <c r="C776">
        <v>775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1</v>
      </c>
      <c r="M776">
        <v>1</v>
      </c>
      <c r="N776">
        <v>1</v>
      </c>
      <c r="O776">
        <v>1</v>
      </c>
      <c r="P776">
        <v>1</v>
      </c>
      <c r="Q776">
        <v>1</v>
      </c>
      <c r="R776">
        <v>1</v>
      </c>
      <c r="S776">
        <v>1</v>
      </c>
    </row>
    <row r="777" spans="1:19" x14ac:dyDescent="0.25">
      <c r="A777" s="1">
        <v>0.62817752314814812</v>
      </c>
      <c r="B777" t="s">
        <v>1</v>
      </c>
      <c r="C777">
        <v>776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1</v>
      </c>
      <c r="M777">
        <v>1</v>
      </c>
      <c r="N777">
        <v>1</v>
      </c>
      <c r="O777">
        <v>1</v>
      </c>
      <c r="P777">
        <v>1</v>
      </c>
      <c r="Q777">
        <v>1</v>
      </c>
      <c r="R777">
        <v>1</v>
      </c>
      <c r="S777">
        <v>1</v>
      </c>
    </row>
    <row r="778" spans="1:19" x14ac:dyDescent="0.25">
      <c r="A778" s="1">
        <v>0.62817763888888889</v>
      </c>
      <c r="B778" t="s">
        <v>1</v>
      </c>
      <c r="C778">
        <v>777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1</v>
      </c>
      <c r="M778">
        <v>1</v>
      </c>
      <c r="N778">
        <v>1</v>
      </c>
      <c r="O778">
        <v>1</v>
      </c>
      <c r="P778">
        <v>1</v>
      </c>
      <c r="Q778">
        <v>1</v>
      </c>
      <c r="R778">
        <v>1</v>
      </c>
      <c r="S778">
        <v>1</v>
      </c>
    </row>
    <row r="779" spans="1:19" x14ac:dyDescent="0.25">
      <c r="A779" s="1">
        <v>0.62817775462962966</v>
      </c>
      <c r="B779" t="s">
        <v>1</v>
      </c>
      <c r="C779">
        <v>778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1</v>
      </c>
      <c r="M779">
        <v>1</v>
      </c>
      <c r="N779">
        <v>1</v>
      </c>
      <c r="O779">
        <v>1</v>
      </c>
      <c r="P779">
        <v>1</v>
      </c>
      <c r="Q779">
        <v>1</v>
      </c>
      <c r="R779">
        <v>1</v>
      </c>
      <c r="S779">
        <v>1</v>
      </c>
    </row>
    <row r="780" spans="1:19" x14ac:dyDescent="0.25">
      <c r="A780" s="1">
        <v>0.62817787037037032</v>
      </c>
      <c r="B780" t="s">
        <v>1</v>
      </c>
      <c r="C780">
        <v>779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1</v>
      </c>
      <c r="M780">
        <v>1</v>
      </c>
      <c r="N780">
        <v>1</v>
      </c>
      <c r="O780">
        <v>1</v>
      </c>
      <c r="P780">
        <v>1</v>
      </c>
      <c r="Q780">
        <v>1</v>
      </c>
      <c r="R780">
        <v>1</v>
      </c>
      <c r="S780">
        <v>1</v>
      </c>
    </row>
    <row r="781" spans="1:19" x14ac:dyDescent="0.25">
      <c r="A781" s="1">
        <v>0.62817798611111109</v>
      </c>
      <c r="B781" t="s">
        <v>1</v>
      </c>
      <c r="C781">
        <v>780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1</v>
      </c>
      <c r="M781">
        <v>1</v>
      </c>
      <c r="N781">
        <v>1</v>
      </c>
      <c r="O781">
        <v>1</v>
      </c>
      <c r="P781">
        <v>1</v>
      </c>
      <c r="Q781">
        <v>1</v>
      </c>
      <c r="R781">
        <v>1</v>
      </c>
      <c r="S781">
        <v>1</v>
      </c>
    </row>
    <row r="782" spans="1:19" x14ac:dyDescent="0.25">
      <c r="A782" s="1">
        <v>0.62817810185185186</v>
      </c>
      <c r="B782" t="s">
        <v>1</v>
      </c>
      <c r="C782">
        <v>781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1</v>
      </c>
      <c r="M782">
        <v>1</v>
      </c>
      <c r="N782">
        <v>1</v>
      </c>
      <c r="O782">
        <v>1</v>
      </c>
      <c r="P782">
        <v>1</v>
      </c>
      <c r="Q782">
        <v>1</v>
      </c>
      <c r="R782">
        <v>1</v>
      </c>
      <c r="S782">
        <v>1</v>
      </c>
    </row>
    <row r="783" spans="1:19" x14ac:dyDescent="0.25">
      <c r="A783" s="1">
        <v>0.62817821759259262</v>
      </c>
      <c r="B783" t="s">
        <v>1</v>
      </c>
      <c r="C783">
        <v>782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1</v>
      </c>
      <c r="M783">
        <v>1</v>
      </c>
      <c r="N783">
        <v>1</v>
      </c>
      <c r="O783">
        <v>1</v>
      </c>
      <c r="P783">
        <v>1</v>
      </c>
      <c r="Q783">
        <v>1</v>
      </c>
      <c r="R783">
        <v>1</v>
      </c>
      <c r="S783">
        <v>1</v>
      </c>
    </row>
    <row r="784" spans="1:19" x14ac:dyDescent="0.25">
      <c r="A784" s="1">
        <v>0.62817833333333328</v>
      </c>
      <c r="B784" t="s">
        <v>1</v>
      </c>
      <c r="C784">
        <v>783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1</v>
      </c>
      <c r="M784">
        <v>1</v>
      </c>
      <c r="N784">
        <v>1</v>
      </c>
      <c r="O784">
        <v>1</v>
      </c>
      <c r="P784">
        <v>1</v>
      </c>
      <c r="Q784">
        <v>1</v>
      </c>
      <c r="R784">
        <v>1</v>
      </c>
      <c r="S784">
        <v>1</v>
      </c>
    </row>
    <row r="785" spans="1:19" x14ac:dyDescent="0.25">
      <c r="A785" s="1">
        <v>0.62817844907407405</v>
      </c>
      <c r="B785" t="s">
        <v>1</v>
      </c>
      <c r="C785">
        <v>784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1</v>
      </c>
      <c r="M785">
        <v>1</v>
      </c>
      <c r="N785">
        <v>1</v>
      </c>
      <c r="O785">
        <v>1</v>
      </c>
      <c r="P785">
        <v>1</v>
      </c>
      <c r="Q785">
        <v>1</v>
      </c>
      <c r="R785">
        <v>1</v>
      </c>
      <c r="S785">
        <v>1</v>
      </c>
    </row>
    <row r="786" spans="1:19" x14ac:dyDescent="0.25">
      <c r="A786" s="1">
        <v>0.62817856481481482</v>
      </c>
      <c r="B786" t="s">
        <v>1</v>
      </c>
      <c r="C786">
        <v>785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1</v>
      </c>
      <c r="M786">
        <v>1</v>
      </c>
      <c r="N786">
        <v>1</v>
      </c>
      <c r="O786">
        <v>1</v>
      </c>
      <c r="P786">
        <v>1</v>
      </c>
      <c r="Q786">
        <v>1</v>
      </c>
      <c r="R786">
        <v>1</v>
      </c>
      <c r="S786">
        <v>1</v>
      </c>
    </row>
    <row r="787" spans="1:19" x14ac:dyDescent="0.25">
      <c r="A787" s="1">
        <v>0.62817866898148145</v>
      </c>
      <c r="B787" t="s">
        <v>1</v>
      </c>
      <c r="C787">
        <v>786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1</v>
      </c>
      <c r="M787">
        <v>1</v>
      </c>
      <c r="N787">
        <v>1</v>
      </c>
      <c r="O787">
        <v>1</v>
      </c>
      <c r="P787">
        <v>1</v>
      </c>
      <c r="Q787">
        <v>1</v>
      </c>
      <c r="R787">
        <v>1</v>
      </c>
      <c r="S787">
        <v>1</v>
      </c>
    </row>
    <row r="788" spans="1:19" x14ac:dyDescent="0.25">
      <c r="A788" s="1">
        <v>0.62817878472222222</v>
      </c>
      <c r="B788" t="s">
        <v>1</v>
      </c>
      <c r="C788">
        <v>787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1</v>
      </c>
      <c r="M788">
        <v>1</v>
      </c>
      <c r="N788">
        <v>1</v>
      </c>
      <c r="O788">
        <v>1</v>
      </c>
      <c r="P788">
        <v>1</v>
      </c>
      <c r="Q788">
        <v>1</v>
      </c>
      <c r="R788">
        <v>1</v>
      </c>
      <c r="S788">
        <v>1</v>
      </c>
    </row>
    <row r="789" spans="1:19" x14ac:dyDescent="0.25">
      <c r="A789" s="1">
        <v>0.62817891203703702</v>
      </c>
      <c r="B789" t="s">
        <v>1</v>
      </c>
      <c r="C789">
        <v>788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1</v>
      </c>
      <c r="M789">
        <v>1</v>
      </c>
      <c r="N789">
        <v>1</v>
      </c>
      <c r="O789">
        <v>1</v>
      </c>
      <c r="P789">
        <v>1</v>
      </c>
      <c r="Q789">
        <v>1</v>
      </c>
      <c r="R789">
        <v>1</v>
      </c>
      <c r="S789">
        <v>1</v>
      </c>
    </row>
    <row r="790" spans="1:19" x14ac:dyDescent="0.25">
      <c r="A790" s="1">
        <v>0.62817902777777779</v>
      </c>
      <c r="B790" t="s">
        <v>1</v>
      </c>
      <c r="C790">
        <v>789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1</v>
      </c>
      <c r="M790">
        <v>1</v>
      </c>
      <c r="N790">
        <v>1</v>
      </c>
      <c r="O790">
        <v>1</v>
      </c>
      <c r="P790">
        <v>1</v>
      </c>
      <c r="Q790">
        <v>1</v>
      </c>
      <c r="R790">
        <v>1</v>
      </c>
      <c r="S790">
        <v>1</v>
      </c>
    </row>
    <row r="791" spans="1:19" x14ac:dyDescent="0.25">
      <c r="A791" s="1">
        <v>0.62817914351851856</v>
      </c>
      <c r="B791" t="s">
        <v>1</v>
      </c>
      <c r="C791">
        <v>790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1</v>
      </c>
      <c r="M791">
        <v>1</v>
      </c>
      <c r="N791">
        <v>1</v>
      </c>
      <c r="O791">
        <v>1</v>
      </c>
      <c r="P791">
        <v>1</v>
      </c>
      <c r="Q791">
        <v>1</v>
      </c>
      <c r="R791">
        <v>1</v>
      </c>
      <c r="S791">
        <v>1</v>
      </c>
    </row>
    <row r="792" spans="1:19" x14ac:dyDescent="0.25">
      <c r="A792" s="1">
        <v>0.62817925925925922</v>
      </c>
      <c r="B792" t="s">
        <v>2</v>
      </c>
      <c r="C792">
        <v>791</v>
      </c>
      <c r="D792">
        <v>0</v>
      </c>
      <c r="E792">
        <v>1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1</v>
      </c>
      <c r="M792">
        <v>1</v>
      </c>
      <c r="N792">
        <v>1</v>
      </c>
      <c r="O792">
        <v>1</v>
      </c>
      <c r="P792">
        <v>1</v>
      </c>
      <c r="Q792">
        <v>1</v>
      </c>
      <c r="R792">
        <v>1</v>
      </c>
      <c r="S792">
        <v>1</v>
      </c>
    </row>
    <row r="793" spans="1:19" x14ac:dyDescent="0.25">
      <c r="A793" s="1">
        <v>0.62817936342592595</v>
      </c>
      <c r="B793" t="s">
        <v>2</v>
      </c>
      <c r="C793">
        <v>792</v>
      </c>
      <c r="D793">
        <v>0</v>
      </c>
      <c r="E793">
        <v>1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1</v>
      </c>
      <c r="M793">
        <v>1</v>
      </c>
      <c r="N793">
        <v>1</v>
      </c>
      <c r="O793">
        <v>1</v>
      </c>
      <c r="P793">
        <v>1</v>
      </c>
      <c r="Q793">
        <v>1</v>
      </c>
      <c r="R793">
        <v>1</v>
      </c>
      <c r="S793">
        <v>1</v>
      </c>
    </row>
    <row r="794" spans="1:19" x14ac:dyDescent="0.25">
      <c r="A794" s="1">
        <v>0.62817947916666672</v>
      </c>
      <c r="B794" t="s">
        <v>2</v>
      </c>
      <c r="C794">
        <v>793</v>
      </c>
      <c r="D794">
        <v>0</v>
      </c>
      <c r="E794">
        <v>1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1</v>
      </c>
      <c r="M794">
        <v>1</v>
      </c>
      <c r="N794">
        <v>1</v>
      </c>
      <c r="O794">
        <v>1</v>
      </c>
      <c r="P794">
        <v>1</v>
      </c>
      <c r="Q794">
        <v>1</v>
      </c>
      <c r="R794">
        <v>1</v>
      </c>
      <c r="S794">
        <v>1</v>
      </c>
    </row>
    <row r="795" spans="1:19" x14ac:dyDescent="0.25">
      <c r="A795" s="1">
        <v>0.62817960648148152</v>
      </c>
      <c r="B795" t="s">
        <v>2</v>
      </c>
      <c r="C795">
        <v>794</v>
      </c>
      <c r="D795">
        <v>0</v>
      </c>
      <c r="E795">
        <v>1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1</v>
      </c>
      <c r="M795">
        <v>1</v>
      </c>
      <c r="N795">
        <v>1</v>
      </c>
      <c r="O795">
        <v>1</v>
      </c>
      <c r="P795">
        <v>1</v>
      </c>
      <c r="Q795">
        <v>1</v>
      </c>
      <c r="R795">
        <v>1</v>
      </c>
      <c r="S795">
        <v>1</v>
      </c>
    </row>
    <row r="796" spans="1:19" x14ac:dyDescent="0.25">
      <c r="A796" s="1">
        <v>0.62817971064814815</v>
      </c>
      <c r="B796" t="s">
        <v>2</v>
      </c>
      <c r="C796">
        <v>795</v>
      </c>
      <c r="D796">
        <v>0</v>
      </c>
      <c r="E796">
        <v>1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1</v>
      </c>
      <c r="M796">
        <v>1</v>
      </c>
      <c r="N796">
        <v>1</v>
      </c>
      <c r="O796">
        <v>1</v>
      </c>
      <c r="P796">
        <v>1</v>
      </c>
      <c r="Q796">
        <v>1</v>
      </c>
      <c r="R796">
        <v>1</v>
      </c>
      <c r="S796">
        <v>1</v>
      </c>
    </row>
    <row r="797" spans="1:19" x14ac:dyDescent="0.25">
      <c r="A797" s="1">
        <v>0.62817982638888892</v>
      </c>
      <c r="B797" t="s">
        <v>2</v>
      </c>
      <c r="C797">
        <v>796</v>
      </c>
      <c r="D797">
        <v>0</v>
      </c>
      <c r="E797">
        <v>1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1</v>
      </c>
      <c r="M797">
        <v>1</v>
      </c>
      <c r="N797">
        <v>1</v>
      </c>
      <c r="O797">
        <v>1</v>
      </c>
      <c r="P797">
        <v>1</v>
      </c>
      <c r="Q797">
        <v>1</v>
      </c>
      <c r="R797">
        <v>1</v>
      </c>
      <c r="S797">
        <v>1</v>
      </c>
    </row>
    <row r="798" spans="1:19" x14ac:dyDescent="0.25">
      <c r="A798" s="1">
        <v>0.62817995370370372</v>
      </c>
      <c r="B798" t="s">
        <v>2</v>
      </c>
      <c r="C798">
        <v>797</v>
      </c>
      <c r="D798">
        <v>0</v>
      </c>
      <c r="E798">
        <v>1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1</v>
      </c>
      <c r="M798">
        <v>1</v>
      </c>
      <c r="N798">
        <v>1</v>
      </c>
      <c r="O798">
        <v>1</v>
      </c>
      <c r="P798">
        <v>1</v>
      </c>
      <c r="Q798">
        <v>1</v>
      </c>
      <c r="R798">
        <v>1</v>
      </c>
      <c r="S798">
        <v>1</v>
      </c>
    </row>
    <row r="799" spans="1:19" x14ac:dyDescent="0.25">
      <c r="A799" s="1">
        <v>0.62818005787037035</v>
      </c>
      <c r="B799" t="s">
        <v>2</v>
      </c>
      <c r="C799">
        <v>798</v>
      </c>
      <c r="D799">
        <v>0</v>
      </c>
      <c r="E799">
        <v>1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1</v>
      </c>
      <c r="M799">
        <v>1</v>
      </c>
      <c r="N799">
        <v>1</v>
      </c>
      <c r="O799">
        <v>1</v>
      </c>
      <c r="P799">
        <v>1</v>
      </c>
      <c r="Q799">
        <v>1</v>
      </c>
      <c r="R799">
        <v>1</v>
      </c>
      <c r="S799">
        <v>1</v>
      </c>
    </row>
    <row r="800" spans="1:19" x14ac:dyDescent="0.25">
      <c r="A800" s="1">
        <v>0.62818017361111111</v>
      </c>
      <c r="B800" t="s">
        <v>1</v>
      </c>
      <c r="C800">
        <v>799</v>
      </c>
      <c r="D800">
        <v>0</v>
      </c>
      <c r="E800">
        <v>0</v>
      </c>
      <c r="F800">
        <v>0</v>
      </c>
      <c r="G800">
        <v>0</v>
      </c>
      <c r="H800">
        <v>0</v>
      </c>
      <c r="I800">
        <v>0</v>
      </c>
      <c r="J800">
        <v>0</v>
      </c>
      <c r="K800">
        <v>0</v>
      </c>
      <c r="L800">
        <v>1</v>
      </c>
      <c r="M800">
        <v>1</v>
      </c>
      <c r="N800">
        <v>1</v>
      </c>
      <c r="O800">
        <v>1</v>
      </c>
      <c r="P800">
        <v>1</v>
      </c>
      <c r="Q800">
        <v>1</v>
      </c>
      <c r="R800">
        <v>1</v>
      </c>
      <c r="S800">
        <v>1</v>
      </c>
    </row>
    <row r="801" spans="1:19" x14ac:dyDescent="0.25">
      <c r="A801" s="1">
        <v>0.62818028935185188</v>
      </c>
      <c r="B801" t="s">
        <v>1</v>
      </c>
      <c r="C801">
        <v>800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1</v>
      </c>
      <c r="M801">
        <v>1</v>
      </c>
      <c r="N801">
        <v>1</v>
      </c>
      <c r="O801">
        <v>1</v>
      </c>
      <c r="P801">
        <v>1</v>
      </c>
      <c r="Q801">
        <v>1</v>
      </c>
      <c r="R801">
        <v>1</v>
      </c>
      <c r="S801">
        <v>1</v>
      </c>
    </row>
    <row r="802" spans="1:19" x14ac:dyDescent="0.25">
      <c r="A802" s="1">
        <v>0.62818040509259254</v>
      </c>
      <c r="B802" t="s">
        <v>1</v>
      </c>
      <c r="C802">
        <v>801</v>
      </c>
      <c r="D802">
        <v>0</v>
      </c>
      <c r="E802">
        <v>0</v>
      </c>
      <c r="F802">
        <v>0</v>
      </c>
      <c r="G802">
        <v>0</v>
      </c>
      <c r="H802">
        <v>0</v>
      </c>
      <c r="I802">
        <v>0</v>
      </c>
      <c r="J802">
        <v>0</v>
      </c>
      <c r="K802">
        <v>0</v>
      </c>
      <c r="L802">
        <v>1</v>
      </c>
      <c r="M802">
        <v>1</v>
      </c>
      <c r="N802">
        <v>1</v>
      </c>
      <c r="O802">
        <v>1</v>
      </c>
      <c r="P802">
        <v>1</v>
      </c>
      <c r="Q802">
        <v>1</v>
      </c>
      <c r="R802">
        <v>1</v>
      </c>
      <c r="S802">
        <v>1</v>
      </c>
    </row>
    <row r="803" spans="1:19" x14ac:dyDescent="0.25">
      <c r="A803" s="1">
        <v>0.62818052083333331</v>
      </c>
      <c r="B803" t="s">
        <v>1</v>
      </c>
      <c r="C803">
        <v>802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1</v>
      </c>
      <c r="M803">
        <v>1</v>
      </c>
      <c r="N803">
        <v>1</v>
      </c>
      <c r="O803">
        <v>1</v>
      </c>
      <c r="P803">
        <v>1</v>
      </c>
      <c r="Q803">
        <v>1</v>
      </c>
      <c r="R803">
        <v>1</v>
      </c>
      <c r="S803">
        <v>1</v>
      </c>
    </row>
    <row r="804" spans="1:19" x14ac:dyDescent="0.25">
      <c r="A804" s="1">
        <v>0.62818063657407408</v>
      </c>
      <c r="B804" t="s">
        <v>1</v>
      </c>
      <c r="C804">
        <v>803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1</v>
      </c>
      <c r="M804">
        <v>1</v>
      </c>
      <c r="N804">
        <v>1</v>
      </c>
      <c r="O804">
        <v>1</v>
      </c>
      <c r="P804">
        <v>1</v>
      </c>
      <c r="Q804">
        <v>1</v>
      </c>
      <c r="R804">
        <v>1</v>
      </c>
      <c r="S804">
        <v>1</v>
      </c>
    </row>
    <row r="805" spans="1:19" x14ac:dyDescent="0.25">
      <c r="A805" s="1">
        <v>0.62818075231481485</v>
      </c>
      <c r="B805" t="s">
        <v>1</v>
      </c>
      <c r="C805">
        <v>804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1</v>
      </c>
      <c r="M805">
        <v>1</v>
      </c>
      <c r="N805">
        <v>1</v>
      </c>
      <c r="O805">
        <v>1</v>
      </c>
      <c r="P805">
        <v>1</v>
      </c>
      <c r="Q805">
        <v>1</v>
      </c>
      <c r="R805">
        <v>1</v>
      </c>
      <c r="S805">
        <v>1</v>
      </c>
    </row>
    <row r="806" spans="1:19" x14ac:dyDescent="0.25">
      <c r="A806" s="1">
        <v>0.62818086805555551</v>
      </c>
      <c r="B806" t="s">
        <v>1</v>
      </c>
      <c r="C806">
        <v>805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1</v>
      </c>
      <c r="M806">
        <v>1</v>
      </c>
      <c r="N806">
        <v>1</v>
      </c>
      <c r="O806">
        <v>1</v>
      </c>
      <c r="P806">
        <v>1</v>
      </c>
      <c r="Q806">
        <v>1</v>
      </c>
      <c r="R806">
        <v>1</v>
      </c>
      <c r="S806">
        <v>1</v>
      </c>
    </row>
    <row r="807" spans="1:19" x14ac:dyDescent="0.25">
      <c r="A807" s="1">
        <v>0.62818098379629628</v>
      </c>
      <c r="B807" t="s">
        <v>1</v>
      </c>
      <c r="C807">
        <v>806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1</v>
      </c>
      <c r="M807">
        <v>1</v>
      </c>
      <c r="N807">
        <v>1</v>
      </c>
      <c r="O807">
        <v>1</v>
      </c>
      <c r="P807">
        <v>1</v>
      </c>
      <c r="Q807">
        <v>1</v>
      </c>
      <c r="R807">
        <v>1</v>
      </c>
      <c r="S807">
        <v>1</v>
      </c>
    </row>
    <row r="808" spans="1:19" x14ac:dyDescent="0.25">
      <c r="A808" s="1">
        <v>0.62818109953703705</v>
      </c>
      <c r="B808" t="s">
        <v>1</v>
      </c>
      <c r="C808">
        <v>807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1</v>
      </c>
      <c r="M808">
        <v>1</v>
      </c>
      <c r="N808">
        <v>1</v>
      </c>
      <c r="O808">
        <v>1</v>
      </c>
      <c r="P808">
        <v>1</v>
      </c>
      <c r="Q808">
        <v>1</v>
      </c>
      <c r="R808">
        <v>1</v>
      </c>
      <c r="S808">
        <v>1</v>
      </c>
    </row>
    <row r="809" spans="1:19" x14ac:dyDescent="0.25">
      <c r="A809" s="1">
        <v>0.62818121527777782</v>
      </c>
      <c r="B809" t="s">
        <v>1</v>
      </c>
      <c r="C809">
        <v>808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1</v>
      </c>
      <c r="M809">
        <v>1</v>
      </c>
      <c r="N809">
        <v>1</v>
      </c>
      <c r="O809">
        <v>1</v>
      </c>
      <c r="P809">
        <v>1</v>
      </c>
      <c r="Q809">
        <v>1</v>
      </c>
      <c r="R809">
        <v>1</v>
      </c>
      <c r="S809">
        <v>1</v>
      </c>
    </row>
    <row r="810" spans="1:19" x14ac:dyDescent="0.25">
      <c r="A810" s="1">
        <v>0.62818134259259262</v>
      </c>
      <c r="B810" t="s">
        <v>1</v>
      </c>
      <c r="C810">
        <v>809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1</v>
      </c>
      <c r="M810">
        <v>1</v>
      </c>
      <c r="N810">
        <v>1</v>
      </c>
      <c r="O810">
        <v>1</v>
      </c>
      <c r="P810">
        <v>1</v>
      </c>
      <c r="Q810">
        <v>1</v>
      </c>
      <c r="R810">
        <v>1</v>
      </c>
      <c r="S810">
        <v>1</v>
      </c>
    </row>
    <row r="811" spans="1:19" x14ac:dyDescent="0.25">
      <c r="A811" s="1">
        <v>0.62818156250000001</v>
      </c>
      <c r="B811" t="s">
        <v>1</v>
      </c>
      <c r="C811">
        <v>810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1</v>
      </c>
      <c r="M811">
        <v>1</v>
      </c>
      <c r="N811">
        <v>1</v>
      </c>
      <c r="O811">
        <v>1</v>
      </c>
      <c r="P811">
        <v>1</v>
      </c>
      <c r="Q811">
        <v>1</v>
      </c>
      <c r="R811">
        <v>1</v>
      </c>
      <c r="S811">
        <v>1</v>
      </c>
    </row>
    <row r="812" spans="1:19" x14ac:dyDescent="0.25">
      <c r="A812" s="1">
        <v>0.62818167824074078</v>
      </c>
      <c r="B812" t="s">
        <v>1</v>
      </c>
      <c r="C812">
        <v>811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1</v>
      </c>
      <c r="M812">
        <v>1</v>
      </c>
      <c r="N812">
        <v>1</v>
      </c>
      <c r="O812">
        <v>1</v>
      </c>
      <c r="P812">
        <v>1</v>
      </c>
      <c r="Q812">
        <v>1</v>
      </c>
      <c r="R812">
        <v>1</v>
      </c>
      <c r="S812">
        <v>1</v>
      </c>
    </row>
    <row r="813" spans="1:19" x14ac:dyDescent="0.25">
      <c r="A813" s="1">
        <v>0.62818179398148144</v>
      </c>
      <c r="B813" t="s">
        <v>1</v>
      </c>
      <c r="C813">
        <v>812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1</v>
      </c>
      <c r="M813">
        <v>1</v>
      </c>
      <c r="N813">
        <v>1</v>
      </c>
      <c r="O813">
        <v>1</v>
      </c>
      <c r="P813">
        <v>1</v>
      </c>
      <c r="Q813">
        <v>1</v>
      </c>
      <c r="R813">
        <v>1</v>
      </c>
      <c r="S813">
        <v>1</v>
      </c>
    </row>
    <row r="814" spans="1:19" x14ac:dyDescent="0.25">
      <c r="A814" s="1">
        <v>0.62818190972222221</v>
      </c>
      <c r="B814" t="s">
        <v>1</v>
      </c>
      <c r="C814">
        <v>813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1</v>
      </c>
      <c r="M814">
        <v>1</v>
      </c>
      <c r="N814">
        <v>1</v>
      </c>
      <c r="O814">
        <v>1</v>
      </c>
      <c r="P814">
        <v>1</v>
      </c>
      <c r="Q814">
        <v>1</v>
      </c>
      <c r="R814">
        <v>1</v>
      </c>
      <c r="S814">
        <v>1</v>
      </c>
    </row>
    <row r="815" spans="1:19" x14ac:dyDescent="0.25">
      <c r="A815" s="1">
        <v>0.62818202546296298</v>
      </c>
      <c r="B815" t="s">
        <v>1</v>
      </c>
      <c r="C815">
        <v>814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1</v>
      </c>
      <c r="M815">
        <v>1</v>
      </c>
      <c r="N815">
        <v>1</v>
      </c>
      <c r="O815">
        <v>1</v>
      </c>
      <c r="P815">
        <v>1</v>
      </c>
      <c r="Q815">
        <v>1</v>
      </c>
      <c r="R815">
        <v>1</v>
      </c>
      <c r="S815">
        <v>1</v>
      </c>
    </row>
    <row r="816" spans="1:19" x14ac:dyDescent="0.25">
      <c r="A816" s="1">
        <v>0.62818214120370375</v>
      </c>
      <c r="B816" t="s">
        <v>1</v>
      </c>
      <c r="C816">
        <v>815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1</v>
      </c>
      <c r="M816">
        <v>1</v>
      </c>
      <c r="N816">
        <v>1</v>
      </c>
      <c r="O816">
        <v>1</v>
      </c>
      <c r="P816">
        <v>1</v>
      </c>
      <c r="Q816">
        <v>1</v>
      </c>
      <c r="R816">
        <v>1</v>
      </c>
      <c r="S816">
        <v>1</v>
      </c>
    </row>
    <row r="817" spans="1:19" x14ac:dyDescent="0.25">
      <c r="A817" s="1">
        <v>0.62818225694444441</v>
      </c>
      <c r="B817" t="s">
        <v>1</v>
      </c>
      <c r="C817">
        <v>816</v>
      </c>
      <c r="D817">
        <v>0</v>
      </c>
      <c r="E817">
        <v>0</v>
      </c>
      <c r="F817">
        <v>0</v>
      </c>
      <c r="G817">
        <v>0</v>
      </c>
      <c r="H817">
        <v>0</v>
      </c>
      <c r="I817">
        <v>0</v>
      </c>
      <c r="J817">
        <v>0</v>
      </c>
      <c r="K817">
        <v>0</v>
      </c>
      <c r="L817">
        <v>1</v>
      </c>
      <c r="M817">
        <v>1</v>
      </c>
      <c r="N817">
        <v>1</v>
      </c>
      <c r="O817">
        <v>1</v>
      </c>
      <c r="P817">
        <v>1</v>
      </c>
      <c r="Q817">
        <v>1</v>
      </c>
      <c r="R817">
        <v>1</v>
      </c>
      <c r="S817">
        <v>1</v>
      </c>
    </row>
    <row r="818" spans="1:19" x14ac:dyDescent="0.25">
      <c r="A818" s="1">
        <v>0.62818237268518518</v>
      </c>
      <c r="B818" t="s">
        <v>1</v>
      </c>
      <c r="C818">
        <v>817</v>
      </c>
      <c r="D818">
        <v>0</v>
      </c>
      <c r="E818">
        <v>0</v>
      </c>
      <c r="F818">
        <v>0</v>
      </c>
      <c r="G818">
        <v>0</v>
      </c>
      <c r="H818">
        <v>0</v>
      </c>
      <c r="I818">
        <v>0</v>
      </c>
      <c r="J818">
        <v>0</v>
      </c>
      <c r="K818">
        <v>0</v>
      </c>
      <c r="L818">
        <v>1</v>
      </c>
      <c r="M818">
        <v>1</v>
      </c>
      <c r="N818">
        <v>1</v>
      </c>
      <c r="O818">
        <v>1</v>
      </c>
      <c r="P818">
        <v>1</v>
      </c>
      <c r="Q818">
        <v>1</v>
      </c>
      <c r="R818">
        <v>1</v>
      </c>
      <c r="S818">
        <v>1</v>
      </c>
    </row>
    <row r="819" spans="1:19" x14ac:dyDescent="0.25">
      <c r="A819" s="1">
        <v>0.62818248842592594</v>
      </c>
      <c r="B819" t="s">
        <v>1</v>
      </c>
      <c r="C819">
        <v>818</v>
      </c>
      <c r="D819">
        <v>0</v>
      </c>
      <c r="E819">
        <v>0</v>
      </c>
      <c r="F819">
        <v>0</v>
      </c>
      <c r="G819">
        <v>0</v>
      </c>
      <c r="H819">
        <v>0</v>
      </c>
      <c r="I819">
        <v>0</v>
      </c>
      <c r="J819">
        <v>0</v>
      </c>
      <c r="K819">
        <v>0</v>
      </c>
      <c r="L819">
        <v>1</v>
      </c>
      <c r="M819">
        <v>1</v>
      </c>
      <c r="N819">
        <v>1</v>
      </c>
      <c r="O819">
        <v>1</v>
      </c>
      <c r="P819">
        <v>1</v>
      </c>
      <c r="Q819">
        <v>1</v>
      </c>
      <c r="R819">
        <v>1</v>
      </c>
      <c r="S819">
        <v>1</v>
      </c>
    </row>
    <row r="820" spans="1:19" x14ac:dyDescent="0.25">
      <c r="A820" s="1">
        <v>0.62818260416666671</v>
      </c>
      <c r="B820" t="s">
        <v>1</v>
      </c>
      <c r="C820">
        <v>819</v>
      </c>
      <c r="D820">
        <v>0</v>
      </c>
      <c r="E820">
        <v>0</v>
      </c>
      <c r="F820">
        <v>0</v>
      </c>
      <c r="G820">
        <v>0</v>
      </c>
      <c r="H820">
        <v>0</v>
      </c>
      <c r="I820">
        <v>0</v>
      </c>
      <c r="J820">
        <v>0</v>
      </c>
      <c r="K820">
        <v>0</v>
      </c>
      <c r="L820">
        <v>1</v>
      </c>
      <c r="M820">
        <v>1</v>
      </c>
      <c r="N820">
        <v>1</v>
      </c>
      <c r="O820">
        <v>1</v>
      </c>
      <c r="P820">
        <v>1</v>
      </c>
      <c r="Q820">
        <v>1</v>
      </c>
      <c r="R820">
        <v>1</v>
      </c>
      <c r="S820">
        <v>1</v>
      </c>
    </row>
    <row r="821" spans="1:19" x14ac:dyDescent="0.25">
      <c r="A821" s="1">
        <v>0.62818271990740737</v>
      </c>
      <c r="B821" t="s">
        <v>1</v>
      </c>
      <c r="C821">
        <v>820</v>
      </c>
      <c r="D821">
        <v>0</v>
      </c>
      <c r="E821">
        <v>0</v>
      </c>
      <c r="F821">
        <v>0</v>
      </c>
      <c r="G821">
        <v>0</v>
      </c>
      <c r="H821">
        <v>0</v>
      </c>
      <c r="I821">
        <v>0</v>
      </c>
      <c r="J821">
        <v>0</v>
      </c>
      <c r="K821">
        <v>0</v>
      </c>
      <c r="L821">
        <v>1</v>
      </c>
      <c r="M821">
        <v>1</v>
      </c>
      <c r="N821">
        <v>1</v>
      </c>
      <c r="O821">
        <v>1</v>
      </c>
      <c r="P821">
        <v>1</v>
      </c>
      <c r="Q821">
        <v>1</v>
      </c>
      <c r="R821">
        <v>1</v>
      </c>
      <c r="S821">
        <v>1</v>
      </c>
    </row>
    <row r="822" spans="1:19" x14ac:dyDescent="0.25">
      <c r="A822" s="1">
        <v>0.62818283564814814</v>
      </c>
      <c r="B822" t="s">
        <v>1</v>
      </c>
      <c r="C822">
        <v>821</v>
      </c>
      <c r="D822">
        <v>0</v>
      </c>
      <c r="E822">
        <v>0</v>
      </c>
      <c r="F822">
        <v>0</v>
      </c>
      <c r="G822">
        <v>0</v>
      </c>
      <c r="H822">
        <v>0</v>
      </c>
      <c r="I822">
        <v>0</v>
      </c>
      <c r="J822">
        <v>0</v>
      </c>
      <c r="K822">
        <v>0</v>
      </c>
      <c r="L822">
        <v>1</v>
      </c>
      <c r="M822">
        <v>1</v>
      </c>
      <c r="N822">
        <v>1</v>
      </c>
      <c r="O822">
        <v>1</v>
      </c>
      <c r="P822">
        <v>1</v>
      </c>
      <c r="Q822">
        <v>1</v>
      </c>
      <c r="R822">
        <v>1</v>
      </c>
      <c r="S822">
        <v>1</v>
      </c>
    </row>
    <row r="823" spans="1:19" x14ac:dyDescent="0.25">
      <c r="A823" s="1">
        <v>0.62818295138888891</v>
      </c>
      <c r="B823" t="s">
        <v>1</v>
      </c>
      <c r="C823">
        <v>822</v>
      </c>
      <c r="D823">
        <v>0</v>
      </c>
      <c r="E823">
        <v>0</v>
      </c>
      <c r="F823">
        <v>0</v>
      </c>
      <c r="G823">
        <v>0</v>
      </c>
      <c r="H823">
        <v>0</v>
      </c>
      <c r="I823">
        <v>0</v>
      </c>
      <c r="J823">
        <v>0</v>
      </c>
      <c r="K823">
        <v>0</v>
      </c>
      <c r="L823">
        <v>1</v>
      </c>
      <c r="M823">
        <v>1</v>
      </c>
      <c r="N823">
        <v>1</v>
      </c>
      <c r="O823">
        <v>1</v>
      </c>
      <c r="P823">
        <v>1</v>
      </c>
      <c r="Q823">
        <v>1</v>
      </c>
      <c r="R823">
        <v>1</v>
      </c>
      <c r="S823">
        <v>1</v>
      </c>
    </row>
    <row r="824" spans="1:19" x14ac:dyDescent="0.25">
      <c r="A824" s="1">
        <v>0.62818306712962968</v>
      </c>
      <c r="B824" t="s">
        <v>1</v>
      </c>
      <c r="C824">
        <v>823</v>
      </c>
      <c r="D824">
        <v>0</v>
      </c>
      <c r="E824">
        <v>0</v>
      </c>
      <c r="F824">
        <v>0</v>
      </c>
      <c r="G824">
        <v>0</v>
      </c>
      <c r="H824">
        <v>0</v>
      </c>
      <c r="I824">
        <v>0</v>
      </c>
      <c r="J824">
        <v>0</v>
      </c>
      <c r="K824">
        <v>0</v>
      </c>
      <c r="L824">
        <v>1</v>
      </c>
      <c r="M824">
        <v>1</v>
      </c>
      <c r="N824">
        <v>1</v>
      </c>
      <c r="O824">
        <v>1</v>
      </c>
      <c r="P824">
        <v>1</v>
      </c>
      <c r="Q824">
        <v>1</v>
      </c>
      <c r="R824">
        <v>1</v>
      </c>
      <c r="S824">
        <v>1</v>
      </c>
    </row>
    <row r="825" spans="1:19" x14ac:dyDescent="0.25">
      <c r="A825" s="1">
        <v>0.62818318287037034</v>
      </c>
      <c r="B825" t="s">
        <v>1</v>
      </c>
      <c r="C825">
        <v>824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0</v>
      </c>
      <c r="J825">
        <v>0</v>
      </c>
      <c r="K825">
        <v>0</v>
      </c>
      <c r="L825">
        <v>1</v>
      </c>
      <c r="M825">
        <v>1</v>
      </c>
      <c r="N825">
        <v>1</v>
      </c>
      <c r="O825">
        <v>1</v>
      </c>
      <c r="P825">
        <v>1</v>
      </c>
      <c r="Q825">
        <v>1</v>
      </c>
      <c r="R825">
        <v>1</v>
      </c>
      <c r="S825">
        <v>1</v>
      </c>
    </row>
    <row r="826" spans="1:19" x14ac:dyDescent="0.25">
      <c r="A826" s="1">
        <v>0.62818329861111111</v>
      </c>
      <c r="B826" t="s">
        <v>1</v>
      </c>
      <c r="C826">
        <v>825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0</v>
      </c>
      <c r="J826">
        <v>0</v>
      </c>
      <c r="K826">
        <v>0</v>
      </c>
      <c r="L826">
        <v>1</v>
      </c>
      <c r="M826">
        <v>1</v>
      </c>
      <c r="N826">
        <v>1</v>
      </c>
      <c r="O826">
        <v>1</v>
      </c>
      <c r="P826">
        <v>1</v>
      </c>
      <c r="Q826">
        <v>1</v>
      </c>
      <c r="R826">
        <v>1</v>
      </c>
      <c r="S826">
        <v>1</v>
      </c>
    </row>
    <row r="827" spans="1:19" x14ac:dyDescent="0.25">
      <c r="A827" s="1">
        <v>0.62818341435185188</v>
      </c>
      <c r="B827" t="s">
        <v>1</v>
      </c>
      <c r="C827">
        <v>826</v>
      </c>
      <c r="D827">
        <v>0</v>
      </c>
      <c r="E827">
        <v>0</v>
      </c>
      <c r="F827">
        <v>0</v>
      </c>
      <c r="G827">
        <v>0</v>
      </c>
      <c r="H827">
        <v>0</v>
      </c>
      <c r="I827">
        <v>0</v>
      </c>
      <c r="J827">
        <v>0</v>
      </c>
      <c r="K827">
        <v>0</v>
      </c>
      <c r="L827">
        <v>1</v>
      </c>
      <c r="M827">
        <v>1</v>
      </c>
      <c r="N827">
        <v>1</v>
      </c>
      <c r="O827">
        <v>1</v>
      </c>
      <c r="P827">
        <v>1</v>
      </c>
      <c r="Q827">
        <v>1</v>
      </c>
      <c r="R827">
        <v>1</v>
      </c>
      <c r="S827">
        <v>1</v>
      </c>
    </row>
    <row r="828" spans="1:19" x14ac:dyDescent="0.25">
      <c r="A828" s="1">
        <v>0.62818353009259265</v>
      </c>
      <c r="B828" t="s">
        <v>1</v>
      </c>
      <c r="C828">
        <v>827</v>
      </c>
      <c r="D828">
        <v>0</v>
      </c>
      <c r="E828">
        <v>0</v>
      </c>
      <c r="F828">
        <v>0</v>
      </c>
      <c r="G828">
        <v>0</v>
      </c>
      <c r="H828">
        <v>0</v>
      </c>
      <c r="I828">
        <v>0</v>
      </c>
      <c r="J828">
        <v>0</v>
      </c>
      <c r="K828">
        <v>0</v>
      </c>
      <c r="L828">
        <v>1</v>
      </c>
      <c r="M828">
        <v>1</v>
      </c>
      <c r="N828">
        <v>1</v>
      </c>
      <c r="O828">
        <v>1</v>
      </c>
      <c r="P828">
        <v>1</v>
      </c>
      <c r="Q828">
        <v>1</v>
      </c>
      <c r="R828">
        <v>1</v>
      </c>
      <c r="S828">
        <v>1</v>
      </c>
    </row>
    <row r="829" spans="1:19" x14ac:dyDescent="0.25">
      <c r="A829" s="1">
        <v>0.6281836458333333</v>
      </c>
      <c r="B829" t="s">
        <v>1</v>
      </c>
      <c r="C829">
        <v>828</v>
      </c>
      <c r="D829">
        <v>0</v>
      </c>
      <c r="E829">
        <v>0</v>
      </c>
      <c r="F829">
        <v>0</v>
      </c>
      <c r="G829">
        <v>0</v>
      </c>
      <c r="H829">
        <v>0</v>
      </c>
      <c r="I829">
        <v>0</v>
      </c>
      <c r="J829">
        <v>0</v>
      </c>
      <c r="K829">
        <v>0</v>
      </c>
      <c r="L829">
        <v>1</v>
      </c>
      <c r="M829">
        <v>1</v>
      </c>
      <c r="N829">
        <v>1</v>
      </c>
      <c r="O829">
        <v>1</v>
      </c>
      <c r="P829">
        <v>1</v>
      </c>
      <c r="Q829">
        <v>1</v>
      </c>
      <c r="R829">
        <v>1</v>
      </c>
      <c r="S829">
        <v>1</v>
      </c>
    </row>
    <row r="830" spans="1:19" x14ac:dyDescent="0.25">
      <c r="A830" s="1">
        <v>0.62818376157407407</v>
      </c>
      <c r="B830" t="s">
        <v>1</v>
      </c>
      <c r="C830">
        <v>829</v>
      </c>
      <c r="D830">
        <v>0</v>
      </c>
      <c r="E830">
        <v>0</v>
      </c>
      <c r="F830">
        <v>0</v>
      </c>
      <c r="G830">
        <v>0</v>
      </c>
      <c r="H830">
        <v>0</v>
      </c>
      <c r="I830">
        <v>0</v>
      </c>
      <c r="J830">
        <v>0</v>
      </c>
      <c r="K830">
        <v>0</v>
      </c>
      <c r="L830">
        <v>1</v>
      </c>
      <c r="M830">
        <v>1</v>
      </c>
      <c r="N830">
        <v>1</v>
      </c>
      <c r="O830">
        <v>1</v>
      </c>
      <c r="P830">
        <v>1</v>
      </c>
      <c r="Q830">
        <v>1</v>
      </c>
      <c r="R830">
        <v>1</v>
      </c>
      <c r="S830">
        <v>1</v>
      </c>
    </row>
    <row r="831" spans="1:19" x14ac:dyDescent="0.25">
      <c r="A831" s="1">
        <v>0.62818387731481484</v>
      </c>
      <c r="B831" t="s">
        <v>1</v>
      </c>
      <c r="C831">
        <v>830</v>
      </c>
      <c r="D831">
        <v>0</v>
      </c>
      <c r="E831">
        <v>0</v>
      </c>
      <c r="F831">
        <v>0</v>
      </c>
      <c r="G831">
        <v>0</v>
      </c>
      <c r="H831">
        <v>0</v>
      </c>
      <c r="I831">
        <v>0</v>
      </c>
      <c r="J831">
        <v>0</v>
      </c>
      <c r="K831">
        <v>0</v>
      </c>
      <c r="L831">
        <v>1</v>
      </c>
      <c r="M831">
        <v>1</v>
      </c>
      <c r="N831">
        <v>1</v>
      </c>
      <c r="O831">
        <v>1</v>
      </c>
      <c r="P831">
        <v>1</v>
      </c>
      <c r="Q831">
        <v>1</v>
      </c>
      <c r="R831">
        <v>1</v>
      </c>
      <c r="S831">
        <v>1</v>
      </c>
    </row>
    <row r="832" spans="1:19" x14ac:dyDescent="0.25">
      <c r="A832" s="1">
        <v>0.6281839930555555</v>
      </c>
      <c r="B832" t="s">
        <v>1</v>
      </c>
      <c r="C832">
        <v>831</v>
      </c>
      <c r="D832">
        <v>0</v>
      </c>
      <c r="E832">
        <v>0</v>
      </c>
      <c r="F832">
        <v>0</v>
      </c>
      <c r="G832">
        <v>0</v>
      </c>
      <c r="H832">
        <v>0</v>
      </c>
      <c r="I832">
        <v>0</v>
      </c>
      <c r="J832">
        <v>0</v>
      </c>
      <c r="K832">
        <v>0</v>
      </c>
      <c r="L832">
        <v>1</v>
      </c>
      <c r="M832">
        <v>1</v>
      </c>
      <c r="N832">
        <v>1</v>
      </c>
      <c r="O832">
        <v>1</v>
      </c>
      <c r="P832">
        <v>1</v>
      </c>
      <c r="Q832">
        <v>1</v>
      </c>
      <c r="R832">
        <v>1</v>
      </c>
      <c r="S832">
        <v>1</v>
      </c>
    </row>
    <row r="833" spans="1:19" x14ac:dyDescent="0.25">
      <c r="A833" s="1">
        <v>0.62818410879629627</v>
      </c>
      <c r="B833" t="s">
        <v>1</v>
      </c>
      <c r="C833">
        <v>832</v>
      </c>
      <c r="D833">
        <v>0</v>
      </c>
      <c r="E833">
        <v>0</v>
      </c>
      <c r="F833">
        <v>0</v>
      </c>
      <c r="G833">
        <v>0</v>
      </c>
      <c r="H833">
        <v>0</v>
      </c>
      <c r="I833">
        <v>0</v>
      </c>
      <c r="J833">
        <v>0</v>
      </c>
      <c r="K833">
        <v>0</v>
      </c>
      <c r="L833">
        <v>1</v>
      </c>
      <c r="M833">
        <v>1</v>
      </c>
      <c r="N833">
        <v>1</v>
      </c>
      <c r="O833">
        <v>1</v>
      </c>
      <c r="P833">
        <v>1</v>
      </c>
      <c r="Q833">
        <v>1</v>
      </c>
      <c r="R833">
        <v>1</v>
      </c>
      <c r="S833">
        <v>1</v>
      </c>
    </row>
    <row r="834" spans="1:19" x14ac:dyDescent="0.25">
      <c r="A834" s="1">
        <v>0.62818422453703704</v>
      </c>
      <c r="B834" t="s">
        <v>1</v>
      </c>
      <c r="C834">
        <v>833</v>
      </c>
      <c r="D834">
        <v>0</v>
      </c>
      <c r="E834">
        <v>0</v>
      </c>
      <c r="F834">
        <v>0</v>
      </c>
      <c r="G834">
        <v>0</v>
      </c>
      <c r="H834">
        <v>0</v>
      </c>
      <c r="I834">
        <v>0</v>
      </c>
      <c r="J834">
        <v>0</v>
      </c>
      <c r="K834">
        <v>0</v>
      </c>
      <c r="L834">
        <v>1</v>
      </c>
      <c r="M834">
        <v>1</v>
      </c>
      <c r="N834">
        <v>1</v>
      </c>
      <c r="O834">
        <v>1</v>
      </c>
      <c r="P834">
        <v>1</v>
      </c>
      <c r="Q834">
        <v>1</v>
      </c>
      <c r="R834">
        <v>1</v>
      </c>
      <c r="S834">
        <v>1</v>
      </c>
    </row>
    <row r="835" spans="1:19" x14ac:dyDescent="0.25">
      <c r="A835" s="1">
        <v>0.62818434027777781</v>
      </c>
      <c r="B835" t="s">
        <v>1</v>
      </c>
      <c r="C835">
        <v>834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0</v>
      </c>
      <c r="J835">
        <v>0</v>
      </c>
      <c r="K835">
        <v>0</v>
      </c>
      <c r="L835">
        <v>1</v>
      </c>
      <c r="M835">
        <v>1</v>
      </c>
      <c r="N835">
        <v>1</v>
      </c>
      <c r="O835">
        <v>1</v>
      </c>
      <c r="P835">
        <v>1</v>
      </c>
      <c r="Q835">
        <v>1</v>
      </c>
      <c r="R835">
        <v>1</v>
      </c>
      <c r="S835">
        <v>1</v>
      </c>
    </row>
    <row r="836" spans="1:19" x14ac:dyDescent="0.25">
      <c r="A836" s="1">
        <v>0.62818445601851847</v>
      </c>
      <c r="B836" t="s">
        <v>1</v>
      </c>
      <c r="C836">
        <v>835</v>
      </c>
      <c r="D836">
        <v>0</v>
      </c>
      <c r="E836">
        <v>0</v>
      </c>
      <c r="F836">
        <v>0</v>
      </c>
      <c r="G836">
        <v>0</v>
      </c>
      <c r="H836">
        <v>0</v>
      </c>
      <c r="I836">
        <v>0</v>
      </c>
      <c r="J836">
        <v>0</v>
      </c>
      <c r="K836">
        <v>0</v>
      </c>
      <c r="L836">
        <v>1</v>
      </c>
      <c r="M836">
        <v>1</v>
      </c>
      <c r="N836">
        <v>1</v>
      </c>
      <c r="O836">
        <v>1</v>
      </c>
      <c r="P836">
        <v>1</v>
      </c>
      <c r="Q836">
        <v>1</v>
      </c>
      <c r="R836">
        <v>1</v>
      </c>
      <c r="S836">
        <v>1</v>
      </c>
    </row>
    <row r="837" spans="1:19" x14ac:dyDescent="0.25">
      <c r="A837" s="1">
        <v>0.62818457175925924</v>
      </c>
      <c r="B837" t="s">
        <v>1</v>
      </c>
      <c r="C837">
        <v>836</v>
      </c>
      <c r="D837">
        <v>0</v>
      </c>
      <c r="E837">
        <v>0</v>
      </c>
      <c r="F837">
        <v>0</v>
      </c>
      <c r="G837">
        <v>0</v>
      </c>
      <c r="H837">
        <v>0</v>
      </c>
      <c r="I837">
        <v>0</v>
      </c>
      <c r="J837">
        <v>0</v>
      </c>
      <c r="K837">
        <v>0</v>
      </c>
      <c r="L837">
        <v>1</v>
      </c>
      <c r="M837">
        <v>1</v>
      </c>
      <c r="N837">
        <v>1</v>
      </c>
      <c r="O837">
        <v>1</v>
      </c>
      <c r="P837">
        <v>1</v>
      </c>
      <c r="Q837">
        <v>1</v>
      </c>
      <c r="R837">
        <v>1</v>
      </c>
      <c r="S837">
        <v>1</v>
      </c>
    </row>
    <row r="838" spans="1:19" x14ac:dyDescent="0.25">
      <c r="A838" s="1">
        <v>0.62818468750000001</v>
      </c>
      <c r="B838" t="s">
        <v>1</v>
      </c>
      <c r="C838">
        <v>837</v>
      </c>
      <c r="D838">
        <v>0</v>
      </c>
      <c r="E838">
        <v>0</v>
      </c>
      <c r="F838">
        <v>0</v>
      </c>
      <c r="G838">
        <v>0</v>
      </c>
      <c r="H838">
        <v>0</v>
      </c>
      <c r="I838">
        <v>0</v>
      </c>
      <c r="J838">
        <v>0</v>
      </c>
      <c r="K838">
        <v>0</v>
      </c>
      <c r="L838">
        <v>1</v>
      </c>
      <c r="M838">
        <v>1</v>
      </c>
      <c r="N838">
        <v>1</v>
      </c>
      <c r="O838">
        <v>1</v>
      </c>
      <c r="P838">
        <v>1</v>
      </c>
      <c r="Q838">
        <v>1</v>
      </c>
      <c r="R838">
        <v>1</v>
      </c>
      <c r="S838">
        <v>1</v>
      </c>
    </row>
    <row r="839" spans="1:19" x14ac:dyDescent="0.25">
      <c r="A839" s="1">
        <v>0.62818480324074077</v>
      </c>
      <c r="B839" t="s">
        <v>1</v>
      </c>
      <c r="C839">
        <v>838</v>
      </c>
      <c r="D839">
        <v>0</v>
      </c>
      <c r="E839">
        <v>0</v>
      </c>
      <c r="F839">
        <v>0</v>
      </c>
      <c r="G839">
        <v>0</v>
      </c>
      <c r="H839">
        <v>0</v>
      </c>
      <c r="I839">
        <v>0</v>
      </c>
      <c r="J839">
        <v>0</v>
      </c>
      <c r="K839">
        <v>0</v>
      </c>
      <c r="L839">
        <v>1</v>
      </c>
      <c r="M839">
        <v>1</v>
      </c>
      <c r="N839">
        <v>1</v>
      </c>
      <c r="O839">
        <v>1</v>
      </c>
      <c r="P839">
        <v>1</v>
      </c>
      <c r="Q839">
        <v>1</v>
      </c>
      <c r="R839">
        <v>1</v>
      </c>
      <c r="S839">
        <v>1</v>
      </c>
    </row>
    <row r="840" spans="1:19" x14ac:dyDescent="0.25">
      <c r="A840" s="1">
        <v>0.62818491898148143</v>
      </c>
      <c r="B840" t="s">
        <v>1</v>
      </c>
      <c r="C840">
        <v>839</v>
      </c>
      <c r="D840">
        <v>0</v>
      </c>
      <c r="E840">
        <v>0</v>
      </c>
      <c r="F840">
        <v>0</v>
      </c>
      <c r="G840">
        <v>0</v>
      </c>
      <c r="H840">
        <v>0</v>
      </c>
      <c r="I840">
        <v>0</v>
      </c>
      <c r="J840">
        <v>0</v>
      </c>
      <c r="K840">
        <v>0</v>
      </c>
      <c r="L840">
        <v>1</v>
      </c>
      <c r="M840">
        <v>1</v>
      </c>
      <c r="N840">
        <v>1</v>
      </c>
      <c r="O840">
        <v>1</v>
      </c>
      <c r="P840">
        <v>1</v>
      </c>
      <c r="Q840">
        <v>1</v>
      </c>
      <c r="R840">
        <v>1</v>
      </c>
      <c r="S840">
        <v>1</v>
      </c>
    </row>
    <row r="841" spans="1:19" x14ac:dyDescent="0.25">
      <c r="A841" s="1">
        <v>0.6281850347222222</v>
      </c>
      <c r="B841" t="s">
        <v>1</v>
      </c>
      <c r="C841">
        <v>840</v>
      </c>
      <c r="D841">
        <v>0</v>
      </c>
      <c r="E841">
        <v>0</v>
      </c>
      <c r="F841">
        <v>0</v>
      </c>
      <c r="G841">
        <v>0</v>
      </c>
      <c r="H841">
        <v>0</v>
      </c>
      <c r="I841">
        <v>0</v>
      </c>
      <c r="J841">
        <v>0</v>
      </c>
      <c r="K841">
        <v>0</v>
      </c>
      <c r="L841">
        <v>1</v>
      </c>
      <c r="M841">
        <v>1</v>
      </c>
      <c r="N841">
        <v>1</v>
      </c>
      <c r="O841">
        <v>1</v>
      </c>
      <c r="P841">
        <v>1</v>
      </c>
      <c r="Q841">
        <v>1</v>
      </c>
      <c r="R841">
        <v>1</v>
      </c>
      <c r="S841">
        <v>1</v>
      </c>
    </row>
    <row r="842" spans="1:19" x14ac:dyDescent="0.25">
      <c r="A842" s="1">
        <v>0.62818515046296297</v>
      </c>
      <c r="B842" t="s">
        <v>1</v>
      </c>
      <c r="C842">
        <v>841</v>
      </c>
      <c r="D842">
        <v>0</v>
      </c>
      <c r="E842">
        <v>0</v>
      </c>
      <c r="F842">
        <v>0</v>
      </c>
      <c r="G842">
        <v>0</v>
      </c>
      <c r="H842">
        <v>0</v>
      </c>
      <c r="I842">
        <v>0</v>
      </c>
      <c r="J842">
        <v>0</v>
      </c>
      <c r="K842">
        <v>0</v>
      </c>
      <c r="L842">
        <v>1</v>
      </c>
      <c r="M842">
        <v>1</v>
      </c>
      <c r="N842">
        <v>1</v>
      </c>
      <c r="O842">
        <v>1</v>
      </c>
      <c r="P842">
        <v>1</v>
      </c>
      <c r="Q842">
        <v>1</v>
      </c>
      <c r="R842">
        <v>1</v>
      </c>
      <c r="S842">
        <v>1</v>
      </c>
    </row>
    <row r="843" spans="1:19" x14ac:dyDescent="0.25">
      <c r="A843" s="1">
        <v>0.62818526620370374</v>
      </c>
      <c r="B843" t="s">
        <v>1</v>
      </c>
      <c r="C843">
        <v>842</v>
      </c>
      <c r="D843">
        <v>0</v>
      </c>
      <c r="E843">
        <v>0</v>
      </c>
      <c r="F843">
        <v>0</v>
      </c>
      <c r="G843">
        <v>0</v>
      </c>
      <c r="H843">
        <v>0</v>
      </c>
      <c r="I843">
        <v>0</v>
      </c>
      <c r="J843">
        <v>0</v>
      </c>
      <c r="K843">
        <v>0</v>
      </c>
      <c r="L843">
        <v>1</v>
      </c>
      <c r="M843">
        <v>1</v>
      </c>
      <c r="N843">
        <v>1</v>
      </c>
      <c r="O843">
        <v>1</v>
      </c>
      <c r="P843">
        <v>1</v>
      </c>
      <c r="Q843">
        <v>1</v>
      </c>
      <c r="R843">
        <v>1</v>
      </c>
      <c r="S843">
        <v>1</v>
      </c>
    </row>
    <row r="844" spans="1:19" x14ac:dyDescent="0.25">
      <c r="A844" s="1">
        <v>0.6281853819444444</v>
      </c>
      <c r="B844" t="s">
        <v>1</v>
      </c>
      <c r="C844">
        <v>843</v>
      </c>
      <c r="D844">
        <v>0</v>
      </c>
      <c r="E844">
        <v>0</v>
      </c>
      <c r="F844">
        <v>0</v>
      </c>
      <c r="G844">
        <v>0</v>
      </c>
      <c r="H844">
        <v>0</v>
      </c>
      <c r="I844">
        <v>0</v>
      </c>
      <c r="J844">
        <v>0</v>
      </c>
      <c r="K844">
        <v>0</v>
      </c>
      <c r="L844">
        <v>1</v>
      </c>
      <c r="M844">
        <v>1</v>
      </c>
      <c r="N844">
        <v>1</v>
      </c>
      <c r="O844">
        <v>1</v>
      </c>
      <c r="P844">
        <v>1</v>
      </c>
      <c r="Q844">
        <v>1</v>
      </c>
      <c r="R844">
        <v>1</v>
      </c>
      <c r="S844">
        <v>1</v>
      </c>
    </row>
    <row r="845" spans="1:19" x14ac:dyDescent="0.25">
      <c r="A845" s="1">
        <v>0.62818549768518517</v>
      </c>
      <c r="B845" t="s">
        <v>1</v>
      </c>
      <c r="C845">
        <v>844</v>
      </c>
      <c r="D845">
        <v>0</v>
      </c>
      <c r="E845">
        <v>0</v>
      </c>
      <c r="F845">
        <v>0</v>
      </c>
      <c r="G845">
        <v>0</v>
      </c>
      <c r="H845">
        <v>0</v>
      </c>
      <c r="I845">
        <v>0</v>
      </c>
      <c r="J845">
        <v>0</v>
      </c>
      <c r="K845">
        <v>0</v>
      </c>
      <c r="L845">
        <v>1</v>
      </c>
      <c r="M845">
        <v>1</v>
      </c>
      <c r="N845">
        <v>1</v>
      </c>
      <c r="O845">
        <v>1</v>
      </c>
      <c r="P845">
        <v>1</v>
      </c>
      <c r="Q845">
        <v>1</v>
      </c>
      <c r="R845">
        <v>1</v>
      </c>
      <c r="S845">
        <v>1</v>
      </c>
    </row>
    <row r="846" spans="1:19" x14ac:dyDescent="0.25">
      <c r="A846" s="1">
        <v>0.62818561342592594</v>
      </c>
      <c r="B846" t="s">
        <v>1</v>
      </c>
      <c r="C846">
        <v>845</v>
      </c>
      <c r="D846">
        <v>0</v>
      </c>
      <c r="E846">
        <v>0</v>
      </c>
      <c r="F846">
        <v>0</v>
      </c>
      <c r="G846">
        <v>0</v>
      </c>
      <c r="H846">
        <v>0</v>
      </c>
      <c r="I846">
        <v>0</v>
      </c>
      <c r="J846">
        <v>0</v>
      </c>
      <c r="K846">
        <v>0</v>
      </c>
      <c r="L846">
        <v>1</v>
      </c>
      <c r="M846">
        <v>1</v>
      </c>
      <c r="N846">
        <v>1</v>
      </c>
      <c r="O846">
        <v>1</v>
      </c>
      <c r="P846">
        <v>1</v>
      </c>
      <c r="Q846">
        <v>1</v>
      </c>
      <c r="R846">
        <v>1</v>
      </c>
      <c r="S846">
        <v>1</v>
      </c>
    </row>
    <row r="847" spans="1:19" x14ac:dyDescent="0.25">
      <c r="A847" s="1">
        <v>0.62818572916666671</v>
      </c>
      <c r="B847" t="s">
        <v>1</v>
      </c>
      <c r="C847">
        <v>846</v>
      </c>
      <c r="D847">
        <v>0</v>
      </c>
      <c r="E847">
        <v>0</v>
      </c>
      <c r="F847">
        <v>0</v>
      </c>
      <c r="G847">
        <v>0</v>
      </c>
      <c r="H847">
        <v>0</v>
      </c>
      <c r="I847">
        <v>0</v>
      </c>
      <c r="J847">
        <v>0</v>
      </c>
      <c r="K847">
        <v>0</v>
      </c>
      <c r="L847">
        <v>1</v>
      </c>
      <c r="M847">
        <v>1</v>
      </c>
      <c r="N847">
        <v>1</v>
      </c>
      <c r="O847">
        <v>1</v>
      </c>
      <c r="P847">
        <v>1</v>
      </c>
      <c r="Q847">
        <v>1</v>
      </c>
      <c r="R847">
        <v>1</v>
      </c>
      <c r="S847">
        <v>1</v>
      </c>
    </row>
    <row r="848" spans="1:19" x14ac:dyDescent="0.25">
      <c r="A848" s="1">
        <v>0.62818583333333333</v>
      </c>
      <c r="B848" t="s">
        <v>1</v>
      </c>
      <c r="C848">
        <v>847</v>
      </c>
      <c r="D848">
        <v>0</v>
      </c>
      <c r="E848">
        <v>0</v>
      </c>
      <c r="F848">
        <v>0</v>
      </c>
      <c r="G848">
        <v>0</v>
      </c>
      <c r="H848">
        <v>0</v>
      </c>
      <c r="I848">
        <v>0</v>
      </c>
      <c r="J848">
        <v>0</v>
      </c>
      <c r="K848">
        <v>0</v>
      </c>
      <c r="L848">
        <v>1</v>
      </c>
      <c r="M848">
        <v>1</v>
      </c>
      <c r="N848">
        <v>1</v>
      </c>
      <c r="O848">
        <v>1</v>
      </c>
      <c r="P848">
        <v>1</v>
      </c>
      <c r="Q848">
        <v>1</v>
      </c>
      <c r="R848">
        <v>1</v>
      </c>
      <c r="S848">
        <v>1</v>
      </c>
    </row>
    <row r="849" spans="1:19" x14ac:dyDescent="0.25">
      <c r="A849" s="1">
        <v>0.62818596064814813</v>
      </c>
      <c r="B849" t="s">
        <v>1</v>
      </c>
      <c r="C849">
        <v>848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1</v>
      </c>
      <c r="M849">
        <v>1</v>
      </c>
      <c r="N849">
        <v>1</v>
      </c>
      <c r="O849">
        <v>1</v>
      </c>
      <c r="P849">
        <v>1</v>
      </c>
      <c r="Q849">
        <v>1</v>
      </c>
      <c r="R849">
        <v>1</v>
      </c>
      <c r="S849">
        <v>1</v>
      </c>
    </row>
    <row r="850" spans="1:19" x14ac:dyDescent="0.25">
      <c r="A850" s="1">
        <v>0.6281860763888889</v>
      </c>
      <c r="B850" t="s">
        <v>1</v>
      </c>
      <c r="C850">
        <v>849</v>
      </c>
      <c r="D850">
        <v>0</v>
      </c>
      <c r="E850">
        <v>0</v>
      </c>
      <c r="F850">
        <v>0</v>
      </c>
      <c r="G850">
        <v>0</v>
      </c>
      <c r="H850">
        <v>0</v>
      </c>
      <c r="I850">
        <v>0</v>
      </c>
      <c r="J850">
        <v>0</v>
      </c>
      <c r="K850">
        <v>0</v>
      </c>
      <c r="L850">
        <v>1</v>
      </c>
      <c r="M850">
        <v>1</v>
      </c>
      <c r="N850">
        <v>1</v>
      </c>
      <c r="O850">
        <v>1</v>
      </c>
      <c r="P850">
        <v>1</v>
      </c>
      <c r="Q850">
        <v>1</v>
      </c>
      <c r="R850">
        <v>1</v>
      </c>
      <c r="S850">
        <v>1</v>
      </c>
    </row>
    <row r="851" spans="1:19" x14ac:dyDescent="0.25">
      <c r="A851" s="1">
        <v>0.62818619212962967</v>
      </c>
      <c r="B851" t="s">
        <v>2</v>
      </c>
      <c r="C851">
        <v>850</v>
      </c>
      <c r="D851">
        <v>0</v>
      </c>
      <c r="E851">
        <v>1</v>
      </c>
      <c r="F851">
        <v>0</v>
      </c>
      <c r="G851">
        <v>0</v>
      </c>
      <c r="H851">
        <v>0</v>
      </c>
      <c r="I851">
        <v>0</v>
      </c>
      <c r="J851">
        <v>0</v>
      </c>
      <c r="K851">
        <v>0</v>
      </c>
      <c r="L851">
        <v>1</v>
      </c>
      <c r="M851">
        <v>1</v>
      </c>
      <c r="N851">
        <v>1</v>
      </c>
      <c r="O851">
        <v>1</v>
      </c>
      <c r="P851">
        <v>1</v>
      </c>
      <c r="Q851">
        <v>1</v>
      </c>
      <c r="R851">
        <v>1</v>
      </c>
      <c r="S851">
        <v>1</v>
      </c>
    </row>
    <row r="852" spans="1:19" x14ac:dyDescent="0.25">
      <c r="A852" s="1">
        <v>0.6281862962962963</v>
      </c>
      <c r="B852" t="s">
        <v>2</v>
      </c>
      <c r="C852">
        <v>851</v>
      </c>
      <c r="D852">
        <v>0</v>
      </c>
      <c r="E852">
        <v>1</v>
      </c>
      <c r="F852">
        <v>0</v>
      </c>
      <c r="G852">
        <v>0</v>
      </c>
      <c r="H852">
        <v>0</v>
      </c>
      <c r="I852">
        <v>0</v>
      </c>
      <c r="J852">
        <v>0</v>
      </c>
      <c r="K852">
        <v>0</v>
      </c>
      <c r="L852">
        <v>1</v>
      </c>
      <c r="M852">
        <v>1</v>
      </c>
      <c r="N852">
        <v>1</v>
      </c>
      <c r="O852">
        <v>1</v>
      </c>
      <c r="P852">
        <v>1</v>
      </c>
      <c r="Q852">
        <v>1</v>
      </c>
      <c r="R852">
        <v>1</v>
      </c>
      <c r="S852">
        <v>1</v>
      </c>
    </row>
    <row r="853" spans="1:19" x14ac:dyDescent="0.25">
      <c r="A853" s="1">
        <v>0.62818641203703707</v>
      </c>
      <c r="B853" t="s">
        <v>2</v>
      </c>
      <c r="C853">
        <v>852</v>
      </c>
      <c r="D853">
        <v>0</v>
      </c>
      <c r="E853">
        <v>1</v>
      </c>
      <c r="F853">
        <v>0</v>
      </c>
      <c r="G853">
        <v>0</v>
      </c>
      <c r="H853">
        <v>0</v>
      </c>
      <c r="I853">
        <v>0</v>
      </c>
      <c r="J853">
        <v>0</v>
      </c>
      <c r="K853">
        <v>0</v>
      </c>
      <c r="L853">
        <v>1</v>
      </c>
      <c r="M853">
        <v>1</v>
      </c>
      <c r="N853">
        <v>1</v>
      </c>
      <c r="O853">
        <v>1</v>
      </c>
      <c r="P853">
        <v>1</v>
      </c>
      <c r="Q853">
        <v>1</v>
      </c>
      <c r="R853">
        <v>1</v>
      </c>
      <c r="S853">
        <v>1</v>
      </c>
    </row>
    <row r="854" spans="1:19" x14ac:dyDescent="0.25">
      <c r="A854" s="1">
        <v>0.62818653935185187</v>
      </c>
      <c r="B854" t="s">
        <v>2</v>
      </c>
      <c r="C854">
        <v>853</v>
      </c>
      <c r="D854">
        <v>0</v>
      </c>
      <c r="E854">
        <v>1</v>
      </c>
      <c r="F854">
        <v>0</v>
      </c>
      <c r="G854">
        <v>0</v>
      </c>
      <c r="H854">
        <v>0</v>
      </c>
      <c r="I854">
        <v>0</v>
      </c>
      <c r="J854">
        <v>0</v>
      </c>
      <c r="K854">
        <v>0</v>
      </c>
      <c r="L854">
        <v>1</v>
      </c>
      <c r="M854">
        <v>1</v>
      </c>
      <c r="N854">
        <v>1</v>
      </c>
      <c r="O854">
        <v>1</v>
      </c>
      <c r="P854">
        <v>1</v>
      </c>
      <c r="Q854">
        <v>1</v>
      </c>
      <c r="R854">
        <v>1</v>
      </c>
      <c r="S854">
        <v>1</v>
      </c>
    </row>
    <row r="855" spans="1:19" x14ac:dyDescent="0.25">
      <c r="A855" s="1">
        <v>0.62818664351851849</v>
      </c>
      <c r="B855" t="s">
        <v>2</v>
      </c>
      <c r="C855">
        <v>854</v>
      </c>
      <c r="D855">
        <v>0</v>
      </c>
      <c r="E855">
        <v>1</v>
      </c>
      <c r="F855">
        <v>0</v>
      </c>
      <c r="G855">
        <v>0</v>
      </c>
      <c r="H855">
        <v>0</v>
      </c>
      <c r="I855">
        <v>0</v>
      </c>
      <c r="J855">
        <v>0</v>
      </c>
      <c r="K855">
        <v>0</v>
      </c>
      <c r="L855">
        <v>1</v>
      </c>
      <c r="M855">
        <v>1</v>
      </c>
      <c r="N855">
        <v>1</v>
      </c>
      <c r="O855">
        <v>1</v>
      </c>
      <c r="P855">
        <v>1</v>
      </c>
      <c r="Q855">
        <v>1</v>
      </c>
      <c r="R855">
        <v>1</v>
      </c>
      <c r="S855">
        <v>1</v>
      </c>
    </row>
    <row r="856" spans="1:19" x14ac:dyDescent="0.25">
      <c r="A856" s="1">
        <v>0.6281867708333333</v>
      </c>
      <c r="B856" t="s">
        <v>2</v>
      </c>
      <c r="C856">
        <v>855</v>
      </c>
      <c r="D856">
        <v>0</v>
      </c>
      <c r="E856">
        <v>1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1</v>
      </c>
      <c r="M856">
        <v>1</v>
      </c>
      <c r="N856">
        <v>1</v>
      </c>
      <c r="O856">
        <v>1</v>
      </c>
      <c r="P856">
        <v>1</v>
      </c>
      <c r="Q856">
        <v>1</v>
      </c>
      <c r="R856">
        <v>1</v>
      </c>
      <c r="S856">
        <v>1</v>
      </c>
    </row>
    <row r="857" spans="1:19" x14ac:dyDescent="0.25">
      <c r="A857" s="1">
        <v>0.62818688657407407</v>
      </c>
      <c r="B857" t="s">
        <v>2</v>
      </c>
      <c r="C857">
        <v>856</v>
      </c>
      <c r="D857">
        <v>0</v>
      </c>
      <c r="E857">
        <v>1</v>
      </c>
      <c r="F857">
        <v>0</v>
      </c>
      <c r="G857">
        <v>0</v>
      </c>
      <c r="H857">
        <v>0</v>
      </c>
      <c r="I857">
        <v>0</v>
      </c>
      <c r="J857">
        <v>0</v>
      </c>
      <c r="K857">
        <v>0</v>
      </c>
      <c r="L857">
        <v>1</v>
      </c>
      <c r="M857">
        <v>1</v>
      </c>
      <c r="N857">
        <v>1</v>
      </c>
      <c r="O857">
        <v>1</v>
      </c>
      <c r="P857">
        <v>1</v>
      </c>
      <c r="Q857">
        <v>1</v>
      </c>
      <c r="R857">
        <v>1</v>
      </c>
      <c r="S857">
        <v>1</v>
      </c>
    </row>
    <row r="858" spans="1:19" x14ac:dyDescent="0.25">
      <c r="A858" s="1">
        <v>0.62818700231481484</v>
      </c>
      <c r="B858" t="s">
        <v>2</v>
      </c>
      <c r="C858">
        <v>857</v>
      </c>
      <c r="D858">
        <v>0</v>
      </c>
      <c r="E858">
        <v>1</v>
      </c>
      <c r="F858">
        <v>0</v>
      </c>
      <c r="G858">
        <v>0</v>
      </c>
      <c r="H858">
        <v>0</v>
      </c>
      <c r="I858">
        <v>0</v>
      </c>
      <c r="J858">
        <v>0</v>
      </c>
      <c r="K858">
        <v>0</v>
      </c>
      <c r="L858">
        <v>1</v>
      </c>
      <c r="M858">
        <v>1</v>
      </c>
      <c r="N858">
        <v>1</v>
      </c>
      <c r="O858">
        <v>1</v>
      </c>
      <c r="P858">
        <v>1</v>
      </c>
      <c r="Q858">
        <v>1</v>
      </c>
      <c r="R858">
        <v>1</v>
      </c>
      <c r="S858">
        <v>1</v>
      </c>
    </row>
    <row r="859" spans="1:19" x14ac:dyDescent="0.25">
      <c r="A859" s="1">
        <v>0.62818710648148146</v>
      </c>
      <c r="B859" t="s">
        <v>1</v>
      </c>
      <c r="C859">
        <v>858</v>
      </c>
      <c r="D859">
        <v>0</v>
      </c>
      <c r="E859">
        <v>0</v>
      </c>
      <c r="F859">
        <v>0</v>
      </c>
      <c r="G859">
        <v>0</v>
      </c>
      <c r="H859">
        <v>0</v>
      </c>
      <c r="I859">
        <v>0</v>
      </c>
      <c r="J859">
        <v>0</v>
      </c>
      <c r="K859">
        <v>0</v>
      </c>
      <c r="L859">
        <v>1</v>
      </c>
      <c r="M859">
        <v>1</v>
      </c>
      <c r="N859">
        <v>1</v>
      </c>
      <c r="O859">
        <v>1</v>
      </c>
      <c r="P859">
        <v>1</v>
      </c>
      <c r="Q859">
        <v>1</v>
      </c>
      <c r="R859">
        <v>1</v>
      </c>
      <c r="S859">
        <v>1</v>
      </c>
    </row>
    <row r="860" spans="1:19" x14ac:dyDescent="0.25">
      <c r="A860" s="1">
        <v>0.62818723379629626</v>
      </c>
      <c r="B860" t="s">
        <v>1</v>
      </c>
      <c r="C860">
        <v>859</v>
      </c>
      <c r="D860">
        <v>0</v>
      </c>
      <c r="E860">
        <v>0</v>
      </c>
      <c r="F860">
        <v>0</v>
      </c>
      <c r="G860">
        <v>0</v>
      </c>
      <c r="H860">
        <v>0</v>
      </c>
      <c r="I860">
        <v>0</v>
      </c>
      <c r="J860">
        <v>0</v>
      </c>
      <c r="K860">
        <v>0</v>
      </c>
      <c r="L860">
        <v>1</v>
      </c>
      <c r="M860">
        <v>1</v>
      </c>
      <c r="N860">
        <v>1</v>
      </c>
      <c r="O860">
        <v>1</v>
      </c>
      <c r="P860">
        <v>1</v>
      </c>
      <c r="Q860">
        <v>1</v>
      </c>
      <c r="R860">
        <v>1</v>
      </c>
      <c r="S860">
        <v>1</v>
      </c>
    </row>
    <row r="861" spans="1:19" x14ac:dyDescent="0.25">
      <c r="A861" s="1">
        <v>0.62818734953703703</v>
      </c>
      <c r="B861" t="s">
        <v>1</v>
      </c>
      <c r="C861">
        <v>860</v>
      </c>
      <c r="D861">
        <v>0</v>
      </c>
      <c r="E861">
        <v>0</v>
      </c>
      <c r="F861">
        <v>0</v>
      </c>
      <c r="G861">
        <v>0</v>
      </c>
      <c r="H861">
        <v>0</v>
      </c>
      <c r="I861">
        <v>0</v>
      </c>
      <c r="J861">
        <v>0</v>
      </c>
      <c r="K861">
        <v>0</v>
      </c>
      <c r="L861">
        <v>1</v>
      </c>
      <c r="M861">
        <v>1</v>
      </c>
      <c r="N861">
        <v>1</v>
      </c>
      <c r="O861">
        <v>1</v>
      </c>
      <c r="P861">
        <v>1</v>
      </c>
      <c r="Q861">
        <v>1</v>
      </c>
      <c r="R861">
        <v>1</v>
      </c>
      <c r="S861">
        <v>1</v>
      </c>
    </row>
    <row r="862" spans="1:19" x14ac:dyDescent="0.25">
      <c r="A862" s="1">
        <v>0.62818745370370366</v>
      </c>
      <c r="B862" t="s">
        <v>1</v>
      </c>
      <c r="C862">
        <v>861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1</v>
      </c>
      <c r="Q862">
        <v>1</v>
      </c>
      <c r="R862">
        <v>1</v>
      </c>
      <c r="S862">
        <v>1</v>
      </c>
    </row>
    <row r="863" spans="1:19" x14ac:dyDescent="0.25">
      <c r="A863" s="1">
        <v>0.62818758101851857</v>
      </c>
      <c r="B863" t="s">
        <v>1</v>
      </c>
      <c r="C863">
        <v>862</v>
      </c>
      <c r="D863">
        <v>0</v>
      </c>
      <c r="E863">
        <v>0</v>
      </c>
      <c r="F863">
        <v>0</v>
      </c>
      <c r="G863">
        <v>0</v>
      </c>
      <c r="H863">
        <v>0</v>
      </c>
      <c r="I863">
        <v>0</v>
      </c>
      <c r="J863">
        <v>0</v>
      </c>
      <c r="K863">
        <v>0</v>
      </c>
      <c r="L863">
        <v>1</v>
      </c>
      <c r="M863">
        <v>1</v>
      </c>
      <c r="N863">
        <v>1</v>
      </c>
      <c r="O863">
        <v>1</v>
      </c>
      <c r="P863">
        <v>1</v>
      </c>
      <c r="Q863">
        <v>1</v>
      </c>
      <c r="R863">
        <v>1</v>
      </c>
      <c r="S863">
        <v>1</v>
      </c>
    </row>
    <row r="864" spans="1:19" x14ac:dyDescent="0.25">
      <c r="A864" s="1">
        <v>0.62818769675925923</v>
      </c>
      <c r="B864" t="s">
        <v>1</v>
      </c>
      <c r="C864">
        <v>863</v>
      </c>
      <c r="D864">
        <v>0</v>
      </c>
      <c r="E864">
        <v>0</v>
      </c>
      <c r="F864">
        <v>0</v>
      </c>
      <c r="G864">
        <v>0</v>
      </c>
      <c r="H864">
        <v>0</v>
      </c>
      <c r="I864">
        <v>0</v>
      </c>
      <c r="J864">
        <v>0</v>
      </c>
      <c r="K864">
        <v>0</v>
      </c>
      <c r="L864">
        <v>1</v>
      </c>
      <c r="M864">
        <v>1</v>
      </c>
      <c r="N864">
        <v>1</v>
      </c>
      <c r="O864">
        <v>1</v>
      </c>
      <c r="P864">
        <v>1</v>
      </c>
      <c r="Q864">
        <v>1</v>
      </c>
      <c r="R864">
        <v>1</v>
      </c>
      <c r="S864">
        <v>1</v>
      </c>
    </row>
    <row r="865" spans="1:19" x14ac:dyDescent="0.25">
      <c r="A865" s="1">
        <v>0.6281878125</v>
      </c>
      <c r="B865" t="s">
        <v>1</v>
      </c>
      <c r="C865">
        <v>864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0</v>
      </c>
      <c r="J865">
        <v>0</v>
      </c>
      <c r="K865">
        <v>0</v>
      </c>
      <c r="L865">
        <v>1</v>
      </c>
      <c r="M865">
        <v>1</v>
      </c>
      <c r="N865">
        <v>1</v>
      </c>
      <c r="O865">
        <v>1</v>
      </c>
      <c r="P865">
        <v>1</v>
      </c>
      <c r="Q865">
        <v>1</v>
      </c>
      <c r="R865">
        <v>1</v>
      </c>
      <c r="S865">
        <v>1</v>
      </c>
    </row>
    <row r="866" spans="1:19" x14ac:dyDescent="0.25">
      <c r="A866" s="1">
        <v>0.62818792824074077</v>
      </c>
      <c r="B866" t="s">
        <v>1</v>
      </c>
      <c r="C866">
        <v>865</v>
      </c>
      <c r="D866">
        <v>0</v>
      </c>
      <c r="E866">
        <v>0</v>
      </c>
      <c r="F866">
        <v>0</v>
      </c>
      <c r="G866">
        <v>0</v>
      </c>
      <c r="H866">
        <v>0</v>
      </c>
      <c r="I866">
        <v>0</v>
      </c>
      <c r="J866">
        <v>0</v>
      </c>
      <c r="K866">
        <v>0</v>
      </c>
      <c r="L866">
        <v>1</v>
      </c>
      <c r="M866">
        <v>1</v>
      </c>
      <c r="N866">
        <v>1</v>
      </c>
      <c r="O866">
        <v>1</v>
      </c>
      <c r="P866">
        <v>1</v>
      </c>
      <c r="Q866">
        <v>1</v>
      </c>
      <c r="R866">
        <v>1</v>
      </c>
      <c r="S866">
        <v>1</v>
      </c>
    </row>
    <row r="867" spans="1:19" x14ac:dyDescent="0.25">
      <c r="A867" s="1">
        <v>0.62818803240740739</v>
      </c>
      <c r="B867" t="s">
        <v>1</v>
      </c>
      <c r="C867">
        <v>866</v>
      </c>
      <c r="D867">
        <v>0</v>
      </c>
      <c r="E867">
        <v>0</v>
      </c>
      <c r="F867">
        <v>0</v>
      </c>
      <c r="G867">
        <v>0</v>
      </c>
      <c r="H867">
        <v>0</v>
      </c>
      <c r="I867">
        <v>0</v>
      </c>
      <c r="J867">
        <v>0</v>
      </c>
      <c r="K867">
        <v>0</v>
      </c>
      <c r="L867">
        <v>1</v>
      </c>
      <c r="M867">
        <v>1</v>
      </c>
      <c r="N867">
        <v>1</v>
      </c>
      <c r="O867">
        <v>1</v>
      </c>
      <c r="P867">
        <v>1</v>
      </c>
      <c r="Q867">
        <v>1</v>
      </c>
      <c r="R867">
        <v>1</v>
      </c>
      <c r="S867">
        <v>1</v>
      </c>
    </row>
    <row r="868" spans="1:19" x14ac:dyDescent="0.25">
      <c r="A868" s="1">
        <v>0.62818814814814816</v>
      </c>
      <c r="B868" t="s">
        <v>1</v>
      </c>
      <c r="C868">
        <v>867</v>
      </c>
      <c r="D868">
        <v>0</v>
      </c>
      <c r="E868">
        <v>0</v>
      </c>
      <c r="F868">
        <v>0</v>
      </c>
      <c r="G868">
        <v>0</v>
      </c>
      <c r="H868">
        <v>0</v>
      </c>
      <c r="I868">
        <v>0</v>
      </c>
      <c r="J868">
        <v>0</v>
      </c>
      <c r="K868">
        <v>0</v>
      </c>
      <c r="L868">
        <v>1</v>
      </c>
      <c r="M868">
        <v>1</v>
      </c>
      <c r="N868">
        <v>1</v>
      </c>
      <c r="O868">
        <v>1</v>
      </c>
      <c r="P868">
        <v>1</v>
      </c>
      <c r="Q868">
        <v>1</v>
      </c>
      <c r="R868">
        <v>1</v>
      </c>
      <c r="S868">
        <v>1</v>
      </c>
    </row>
    <row r="869" spans="1:19" x14ac:dyDescent="0.25">
      <c r="A869" s="1">
        <v>0.62818826388888893</v>
      </c>
      <c r="B869" t="s">
        <v>1</v>
      </c>
      <c r="C869">
        <v>868</v>
      </c>
      <c r="D869">
        <v>0</v>
      </c>
      <c r="E869">
        <v>0</v>
      </c>
      <c r="F869">
        <v>0</v>
      </c>
      <c r="G869">
        <v>0</v>
      </c>
      <c r="H869">
        <v>0</v>
      </c>
      <c r="I869">
        <v>0</v>
      </c>
      <c r="J869">
        <v>0</v>
      </c>
      <c r="K869">
        <v>0</v>
      </c>
      <c r="L869">
        <v>1</v>
      </c>
      <c r="M869">
        <v>1</v>
      </c>
      <c r="N869">
        <v>1</v>
      </c>
      <c r="O869">
        <v>1</v>
      </c>
      <c r="P869">
        <v>1</v>
      </c>
      <c r="Q869">
        <v>1</v>
      </c>
      <c r="R869">
        <v>1</v>
      </c>
      <c r="S869">
        <v>1</v>
      </c>
    </row>
    <row r="870" spans="1:19" x14ac:dyDescent="0.25">
      <c r="A870" s="1">
        <v>0.62818839120370373</v>
      </c>
      <c r="B870" t="s">
        <v>1</v>
      </c>
      <c r="C870">
        <v>869</v>
      </c>
      <c r="D870">
        <v>0</v>
      </c>
      <c r="E870">
        <v>0</v>
      </c>
      <c r="F870">
        <v>0</v>
      </c>
      <c r="G870">
        <v>0</v>
      </c>
      <c r="H870">
        <v>0</v>
      </c>
      <c r="I870">
        <v>0</v>
      </c>
      <c r="J870">
        <v>0</v>
      </c>
      <c r="K870">
        <v>0</v>
      </c>
      <c r="L870">
        <v>1</v>
      </c>
      <c r="M870">
        <v>1</v>
      </c>
      <c r="N870">
        <v>1</v>
      </c>
      <c r="O870">
        <v>1</v>
      </c>
      <c r="P870">
        <v>1</v>
      </c>
      <c r="Q870">
        <v>1</v>
      </c>
      <c r="R870">
        <v>1</v>
      </c>
      <c r="S870">
        <v>1</v>
      </c>
    </row>
    <row r="871" spans="1:19" x14ac:dyDescent="0.25">
      <c r="A871" s="1">
        <v>0.62818850694444439</v>
      </c>
      <c r="B871" t="s">
        <v>1</v>
      </c>
      <c r="C871">
        <v>870</v>
      </c>
      <c r="D871">
        <v>0</v>
      </c>
      <c r="E871">
        <v>0</v>
      </c>
      <c r="F871">
        <v>0</v>
      </c>
      <c r="G871">
        <v>0</v>
      </c>
      <c r="H871">
        <v>0</v>
      </c>
      <c r="I871">
        <v>0</v>
      </c>
      <c r="J871">
        <v>0</v>
      </c>
      <c r="K871">
        <v>0</v>
      </c>
      <c r="L871">
        <v>1</v>
      </c>
      <c r="M871">
        <v>1</v>
      </c>
      <c r="N871">
        <v>1</v>
      </c>
      <c r="O871">
        <v>1</v>
      </c>
      <c r="P871">
        <v>1</v>
      </c>
      <c r="Q871">
        <v>1</v>
      </c>
      <c r="R871">
        <v>1</v>
      </c>
      <c r="S871">
        <v>1</v>
      </c>
    </row>
    <row r="872" spans="1:19" x14ac:dyDescent="0.25">
      <c r="A872" s="1">
        <v>0.62818862268518516</v>
      </c>
      <c r="B872" t="s">
        <v>1</v>
      </c>
      <c r="C872">
        <v>871</v>
      </c>
      <c r="D872">
        <v>0</v>
      </c>
      <c r="E872">
        <v>0</v>
      </c>
      <c r="F872">
        <v>0</v>
      </c>
      <c r="G872">
        <v>0</v>
      </c>
      <c r="H872">
        <v>0</v>
      </c>
      <c r="I872">
        <v>0</v>
      </c>
      <c r="J872">
        <v>0</v>
      </c>
      <c r="K872">
        <v>0</v>
      </c>
      <c r="L872">
        <v>1</v>
      </c>
      <c r="M872">
        <v>1</v>
      </c>
      <c r="N872">
        <v>1</v>
      </c>
      <c r="O872">
        <v>1</v>
      </c>
      <c r="P872">
        <v>1</v>
      </c>
      <c r="Q872">
        <v>1</v>
      </c>
      <c r="R872">
        <v>1</v>
      </c>
      <c r="S872">
        <v>1</v>
      </c>
    </row>
    <row r="873" spans="1:19" x14ac:dyDescent="0.25">
      <c r="A873" s="1">
        <v>0.6281887268518519</v>
      </c>
      <c r="B873" t="s">
        <v>1</v>
      </c>
      <c r="C873">
        <v>872</v>
      </c>
      <c r="D873">
        <v>0</v>
      </c>
      <c r="E873">
        <v>0</v>
      </c>
      <c r="F873">
        <v>0</v>
      </c>
      <c r="G873">
        <v>0</v>
      </c>
      <c r="H873">
        <v>0</v>
      </c>
      <c r="I873">
        <v>0</v>
      </c>
      <c r="J873">
        <v>0</v>
      </c>
      <c r="K873">
        <v>0</v>
      </c>
      <c r="L873">
        <v>1</v>
      </c>
      <c r="M873">
        <v>1</v>
      </c>
      <c r="N873">
        <v>1</v>
      </c>
      <c r="O873">
        <v>1</v>
      </c>
      <c r="P873">
        <v>1</v>
      </c>
      <c r="Q873">
        <v>1</v>
      </c>
      <c r="R873">
        <v>1</v>
      </c>
      <c r="S873">
        <v>1</v>
      </c>
    </row>
    <row r="874" spans="1:19" x14ac:dyDescent="0.25">
      <c r="A874" s="1">
        <v>0.62818884259259256</v>
      </c>
      <c r="B874" t="s">
        <v>1</v>
      </c>
      <c r="C874">
        <v>873</v>
      </c>
      <c r="D874">
        <v>0</v>
      </c>
      <c r="E874">
        <v>0</v>
      </c>
      <c r="F874">
        <v>0</v>
      </c>
      <c r="G874">
        <v>0</v>
      </c>
      <c r="H874">
        <v>0</v>
      </c>
      <c r="I874">
        <v>0</v>
      </c>
      <c r="J874">
        <v>0</v>
      </c>
      <c r="K874">
        <v>0</v>
      </c>
      <c r="L874">
        <v>1</v>
      </c>
      <c r="M874">
        <v>1</v>
      </c>
      <c r="N874">
        <v>1</v>
      </c>
      <c r="O874">
        <v>1</v>
      </c>
      <c r="P874">
        <v>1</v>
      </c>
      <c r="Q874">
        <v>1</v>
      </c>
      <c r="R874">
        <v>1</v>
      </c>
      <c r="S874">
        <v>1</v>
      </c>
    </row>
    <row r="875" spans="1:19" x14ac:dyDescent="0.25">
      <c r="A875" s="1">
        <v>0.62818895833333332</v>
      </c>
      <c r="B875" t="s">
        <v>1</v>
      </c>
      <c r="C875">
        <v>874</v>
      </c>
      <c r="D875">
        <v>0</v>
      </c>
      <c r="E875">
        <v>0</v>
      </c>
      <c r="F875">
        <v>0</v>
      </c>
      <c r="G875">
        <v>0</v>
      </c>
      <c r="H875">
        <v>0</v>
      </c>
      <c r="I875">
        <v>0</v>
      </c>
      <c r="J875">
        <v>0</v>
      </c>
      <c r="K875">
        <v>0</v>
      </c>
      <c r="L875">
        <v>1</v>
      </c>
      <c r="M875">
        <v>1</v>
      </c>
      <c r="N875">
        <v>1</v>
      </c>
      <c r="O875">
        <v>1</v>
      </c>
      <c r="P875">
        <v>1</v>
      </c>
      <c r="Q875">
        <v>1</v>
      </c>
      <c r="R875">
        <v>1</v>
      </c>
      <c r="S875">
        <v>1</v>
      </c>
    </row>
    <row r="876" spans="1:19" x14ac:dyDescent="0.25">
      <c r="A876" s="1">
        <v>0.62818908564814813</v>
      </c>
      <c r="B876" t="s">
        <v>1</v>
      </c>
      <c r="C876">
        <v>875</v>
      </c>
      <c r="D876">
        <v>0</v>
      </c>
      <c r="E876">
        <v>0</v>
      </c>
      <c r="F876">
        <v>0</v>
      </c>
      <c r="G876">
        <v>0</v>
      </c>
      <c r="H876">
        <v>0</v>
      </c>
      <c r="I876">
        <v>0</v>
      </c>
      <c r="J876">
        <v>0</v>
      </c>
      <c r="K876">
        <v>0</v>
      </c>
      <c r="L876">
        <v>1</v>
      </c>
      <c r="M876">
        <v>1</v>
      </c>
      <c r="N876">
        <v>1</v>
      </c>
      <c r="O876">
        <v>1</v>
      </c>
      <c r="P876">
        <v>1</v>
      </c>
      <c r="Q876">
        <v>1</v>
      </c>
      <c r="R876">
        <v>1</v>
      </c>
      <c r="S876">
        <v>1</v>
      </c>
    </row>
    <row r="877" spans="1:19" x14ac:dyDescent="0.25">
      <c r="A877" s="1">
        <v>0.62818918981481486</v>
      </c>
      <c r="B877" t="s">
        <v>1</v>
      </c>
      <c r="C877">
        <v>876</v>
      </c>
      <c r="D877">
        <v>0</v>
      </c>
      <c r="E877">
        <v>0</v>
      </c>
      <c r="F877">
        <v>0</v>
      </c>
      <c r="G877">
        <v>0</v>
      </c>
      <c r="H877">
        <v>0</v>
      </c>
      <c r="I877">
        <v>0</v>
      </c>
      <c r="J877">
        <v>0</v>
      </c>
      <c r="K877">
        <v>0</v>
      </c>
      <c r="L877">
        <v>1</v>
      </c>
      <c r="M877">
        <v>1</v>
      </c>
      <c r="N877">
        <v>1</v>
      </c>
      <c r="O877">
        <v>1</v>
      </c>
      <c r="P877">
        <v>1</v>
      </c>
      <c r="Q877">
        <v>1</v>
      </c>
      <c r="R877">
        <v>1</v>
      </c>
      <c r="S877">
        <v>1</v>
      </c>
    </row>
    <row r="878" spans="1:19" x14ac:dyDescent="0.25">
      <c r="A878" s="1">
        <v>0.62818930555555552</v>
      </c>
      <c r="B878" t="s">
        <v>1</v>
      </c>
      <c r="C878">
        <v>877</v>
      </c>
      <c r="D878">
        <v>0</v>
      </c>
      <c r="E878">
        <v>0</v>
      </c>
      <c r="F878">
        <v>0</v>
      </c>
      <c r="G878">
        <v>0</v>
      </c>
      <c r="H878">
        <v>0</v>
      </c>
      <c r="I878">
        <v>0</v>
      </c>
      <c r="J878">
        <v>0</v>
      </c>
      <c r="K878">
        <v>0</v>
      </c>
      <c r="L878">
        <v>1</v>
      </c>
      <c r="M878">
        <v>1</v>
      </c>
      <c r="N878">
        <v>1</v>
      </c>
      <c r="O878">
        <v>1</v>
      </c>
      <c r="P878">
        <v>1</v>
      </c>
      <c r="Q878">
        <v>1</v>
      </c>
      <c r="R878">
        <v>1</v>
      </c>
      <c r="S878">
        <v>1</v>
      </c>
    </row>
    <row r="879" spans="1:19" x14ac:dyDescent="0.25">
      <c r="A879" s="1">
        <v>0.62818942129629629</v>
      </c>
      <c r="B879" t="s">
        <v>1</v>
      </c>
      <c r="C879">
        <v>878</v>
      </c>
      <c r="D879">
        <v>0</v>
      </c>
      <c r="E879">
        <v>0</v>
      </c>
      <c r="F879">
        <v>0</v>
      </c>
      <c r="G879">
        <v>0</v>
      </c>
      <c r="H879">
        <v>0</v>
      </c>
      <c r="I879">
        <v>0</v>
      </c>
      <c r="J879">
        <v>0</v>
      </c>
      <c r="K879">
        <v>0</v>
      </c>
      <c r="L879">
        <v>1</v>
      </c>
      <c r="M879">
        <v>1</v>
      </c>
      <c r="N879">
        <v>1</v>
      </c>
      <c r="O879">
        <v>1</v>
      </c>
      <c r="P879">
        <v>1</v>
      </c>
      <c r="Q879">
        <v>1</v>
      </c>
      <c r="R879">
        <v>1</v>
      </c>
      <c r="S879">
        <v>1</v>
      </c>
    </row>
    <row r="880" spans="1:19" x14ac:dyDescent="0.25">
      <c r="A880" s="1">
        <v>0.62818953703703706</v>
      </c>
      <c r="B880" t="s">
        <v>1</v>
      </c>
      <c r="C880">
        <v>879</v>
      </c>
      <c r="D880">
        <v>0</v>
      </c>
      <c r="E880">
        <v>0</v>
      </c>
      <c r="F880">
        <v>0</v>
      </c>
      <c r="G880">
        <v>0</v>
      </c>
      <c r="H880">
        <v>0</v>
      </c>
      <c r="I880">
        <v>0</v>
      </c>
      <c r="J880">
        <v>0</v>
      </c>
      <c r="K880">
        <v>0</v>
      </c>
      <c r="L880">
        <v>1</v>
      </c>
      <c r="M880">
        <v>1</v>
      </c>
      <c r="N880">
        <v>1</v>
      </c>
      <c r="O880">
        <v>1</v>
      </c>
      <c r="P880">
        <v>1</v>
      </c>
      <c r="Q880">
        <v>1</v>
      </c>
      <c r="R880">
        <v>1</v>
      </c>
      <c r="S880">
        <v>1</v>
      </c>
    </row>
    <row r="881" spans="1:19" x14ac:dyDescent="0.25">
      <c r="A881" s="1">
        <v>0.62818965277777783</v>
      </c>
      <c r="B881" t="s">
        <v>1</v>
      </c>
      <c r="C881">
        <v>880</v>
      </c>
      <c r="D881">
        <v>0</v>
      </c>
      <c r="E881">
        <v>0</v>
      </c>
      <c r="F881">
        <v>0</v>
      </c>
      <c r="G881">
        <v>0</v>
      </c>
      <c r="H881">
        <v>0</v>
      </c>
      <c r="I881">
        <v>0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1</v>
      </c>
      <c r="Q881">
        <v>1</v>
      </c>
      <c r="R881">
        <v>1</v>
      </c>
      <c r="S881">
        <v>1</v>
      </c>
    </row>
    <row r="882" spans="1:19" x14ac:dyDescent="0.25">
      <c r="A882" s="1">
        <v>0.62818976851851849</v>
      </c>
      <c r="B882" t="s">
        <v>1</v>
      </c>
      <c r="C882">
        <v>881</v>
      </c>
      <c r="D882">
        <v>0</v>
      </c>
      <c r="E882">
        <v>0</v>
      </c>
      <c r="F882">
        <v>0</v>
      </c>
      <c r="G882">
        <v>0</v>
      </c>
      <c r="H882">
        <v>0</v>
      </c>
      <c r="I882">
        <v>0</v>
      </c>
      <c r="J882">
        <v>0</v>
      </c>
      <c r="K882">
        <v>0</v>
      </c>
      <c r="L882">
        <v>1</v>
      </c>
      <c r="M882">
        <v>1</v>
      </c>
      <c r="N882">
        <v>1</v>
      </c>
      <c r="O882">
        <v>1</v>
      </c>
      <c r="P882">
        <v>1</v>
      </c>
      <c r="Q882">
        <v>1</v>
      </c>
      <c r="R882">
        <v>1</v>
      </c>
      <c r="S882">
        <v>1</v>
      </c>
    </row>
    <row r="883" spans="1:19" x14ac:dyDescent="0.25">
      <c r="A883" s="1">
        <v>0.62818988425925926</v>
      </c>
      <c r="B883" t="s">
        <v>1</v>
      </c>
      <c r="C883">
        <v>882</v>
      </c>
      <c r="D883">
        <v>0</v>
      </c>
      <c r="E883">
        <v>0</v>
      </c>
      <c r="F883">
        <v>0</v>
      </c>
      <c r="G883">
        <v>0</v>
      </c>
      <c r="H883">
        <v>0</v>
      </c>
      <c r="I883">
        <v>0</v>
      </c>
      <c r="J883">
        <v>0</v>
      </c>
      <c r="K883">
        <v>0</v>
      </c>
      <c r="L883">
        <v>1</v>
      </c>
      <c r="M883">
        <v>1</v>
      </c>
      <c r="N883">
        <v>1</v>
      </c>
      <c r="O883">
        <v>1</v>
      </c>
      <c r="P883">
        <v>1</v>
      </c>
      <c r="Q883">
        <v>1</v>
      </c>
      <c r="R883">
        <v>1</v>
      </c>
      <c r="S883">
        <v>1</v>
      </c>
    </row>
    <row r="884" spans="1:19" x14ac:dyDescent="0.25">
      <c r="A884" s="1">
        <v>0.62819000000000003</v>
      </c>
      <c r="B884" t="s">
        <v>1</v>
      </c>
      <c r="C884">
        <v>883</v>
      </c>
      <c r="D884">
        <v>0</v>
      </c>
      <c r="E884">
        <v>0</v>
      </c>
      <c r="F884">
        <v>0</v>
      </c>
      <c r="G884">
        <v>0</v>
      </c>
      <c r="H884">
        <v>0</v>
      </c>
      <c r="I884">
        <v>0</v>
      </c>
      <c r="J884">
        <v>0</v>
      </c>
      <c r="K884">
        <v>0</v>
      </c>
      <c r="L884">
        <v>1</v>
      </c>
      <c r="M884">
        <v>1</v>
      </c>
      <c r="N884">
        <v>1</v>
      </c>
      <c r="O884">
        <v>1</v>
      </c>
      <c r="P884">
        <v>1</v>
      </c>
      <c r="Q884">
        <v>1</v>
      </c>
      <c r="R884">
        <v>1</v>
      </c>
      <c r="S884">
        <v>1</v>
      </c>
    </row>
    <row r="885" spans="1:19" x14ac:dyDescent="0.25">
      <c r="A885" s="1">
        <v>0.6281901157407408</v>
      </c>
      <c r="B885" t="s">
        <v>1</v>
      </c>
      <c r="C885">
        <v>884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0</v>
      </c>
      <c r="J885">
        <v>0</v>
      </c>
      <c r="K885">
        <v>0</v>
      </c>
      <c r="L885">
        <v>1</v>
      </c>
      <c r="M885">
        <v>1</v>
      </c>
      <c r="N885">
        <v>1</v>
      </c>
      <c r="O885">
        <v>1</v>
      </c>
      <c r="P885">
        <v>1</v>
      </c>
      <c r="Q885">
        <v>1</v>
      </c>
      <c r="R885">
        <v>1</v>
      </c>
      <c r="S885">
        <v>1</v>
      </c>
    </row>
    <row r="886" spans="1:19" x14ac:dyDescent="0.25">
      <c r="A886" s="1">
        <v>0.62819023148148145</v>
      </c>
      <c r="B886" t="s">
        <v>1</v>
      </c>
      <c r="C886">
        <v>885</v>
      </c>
      <c r="D886">
        <v>0</v>
      </c>
      <c r="E886">
        <v>0</v>
      </c>
      <c r="F886">
        <v>0</v>
      </c>
      <c r="G886">
        <v>0</v>
      </c>
      <c r="H886">
        <v>0</v>
      </c>
      <c r="I886">
        <v>0</v>
      </c>
      <c r="J886">
        <v>0</v>
      </c>
      <c r="K886">
        <v>0</v>
      </c>
      <c r="L886">
        <v>1</v>
      </c>
      <c r="M886">
        <v>1</v>
      </c>
      <c r="N886">
        <v>1</v>
      </c>
      <c r="O886">
        <v>1</v>
      </c>
      <c r="P886">
        <v>1</v>
      </c>
      <c r="Q886">
        <v>1</v>
      </c>
      <c r="R886">
        <v>1</v>
      </c>
      <c r="S886">
        <v>1</v>
      </c>
    </row>
    <row r="887" spans="1:19" x14ac:dyDescent="0.25">
      <c r="A887" s="1">
        <v>0.62819034722222222</v>
      </c>
      <c r="B887" t="s">
        <v>1</v>
      </c>
      <c r="C887">
        <v>886</v>
      </c>
      <c r="D887">
        <v>0</v>
      </c>
      <c r="E887">
        <v>0</v>
      </c>
      <c r="F887">
        <v>0</v>
      </c>
      <c r="G887">
        <v>0</v>
      </c>
      <c r="H887">
        <v>0</v>
      </c>
      <c r="I887">
        <v>0</v>
      </c>
      <c r="J887">
        <v>0</v>
      </c>
      <c r="K887">
        <v>0</v>
      </c>
      <c r="L887">
        <v>1</v>
      </c>
      <c r="M887">
        <v>1</v>
      </c>
      <c r="N887">
        <v>1</v>
      </c>
      <c r="O887">
        <v>1</v>
      </c>
      <c r="P887">
        <v>1</v>
      </c>
      <c r="Q887">
        <v>1</v>
      </c>
      <c r="R887">
        <v>1</v>
      </c>
      <c r="S887">
        <v>1</v>
      </c>
    </row>
    <row r="888" spans="1:19" x14ac:dyDescent="0.25">
      <c r="A888" s="1">
        <v>0.62819046296296299</v>
      </c>
      <c r="B888" t="s">
        <v>1</v>
      </c>
      <c r="C888">
        <v>887</v>
      </c>
      <c r="D888">
        <v>0</v>
      </c>
      <c r="E888">
        <v>0</v>
      </c>
      <c r="F888">
        <v>0</v>
      </c>
      <c r="G888">
        <v>0</v>
      </c>
      <c r="H888">
        <v>0</v>
      </c>
      <c r="I888">
        <v>0</v>
      </c>
      <c r="J888">
        <v>0</v>
      </c>
      <c r="K888">
        <v>0</v>
      </c>
      <c r="L888">
        <v>1</v>
      </c>
      <c r="M888">
        <v>1</v>
      </c>
      <c r="N888">
        <v>1</v>
      </c>
      <c r="O888">
        <v>1</v>
      </c>
      <c r="P888">
        <v>1</v>
      </c>
      <c r="Q888">
        <v>1</v>
      </c>
      <c r="R888">
        <v>1</v>
      </c>
      <c r="S888">
        <v>1</v>
      </c>
    </row>
    <row r="889" spans="1:19" x14ac:dyDescent="0.25">
      <c r="A889" s="1">
        <v>0.62819057870370365</v>
      </c>
      <c r="B889" t="s">
        <v>1</v>
      </c>
      <c r="C889">
        <v>888</v>
      </c>
      <c r="D889">
        <v>0</v>
      </c>
      <c r="E889">
        <v>0</v>
      </c>
      <c r="F889">
        <v>0</v>
      </c>
      <c r="G889">
        <v>0</v>
      </c>
      <c r="H889">
        <v>0</v>
      </c>
      <c r="I889">
        <v>0</v>
      </c>
      <c r="J889">
        <v>0</v>
      </c>
      <c r="K889">
        <v>0</v>
      </c>
      <c r="L889">
        <v>1</v>
      </c>
      <c r="M889">
        <v>1</v>
      </c>
      <c r="N889">
        <v>1</v>
      </c>
      <c r="O889">
        <v>1</v>
      </c>
      <c r="P889">
        <v>1</v>
      </c>
      <c r="Q889">
        <v>1</v>
      </c>
      <c r="R889">
        <v>1</v>
      </c>
      <c r="S889">
        <v>1</v>
      </c>
    </row>
    <row r="890" spans="1:19" x14ac:dyDescent="0.25">
      <c r="A890" s="1">
        <v>0.62819069444444442</v>
      </c>
      <c r="B890" t="s">
        <v>1</v>
      </c>
      <c r="C890">
        <v>889</v>
      </c>
      <c r="D890">
        <v>0</v>
      </c>
      <c r="E890">
        <v>0</v>
      </c>
      <c r="F890">
        <v>0</v>
      </c>
      <c r="G890">
        <v>0</v>
      </c>
      <c r="H890">
        <v>0</v>
      </c>
      <c r="I890">
        <v>0</v>
      </c>
      <c r="J890">
        <v>0</v>
      </c>
      <c r="K890">
        <v>0</v>
      </c>
      <c r="L890">
        <v>1</v>
      </c>
      <c r="M890">
        <v>1</v>
      </c>
      <c r="N890">
        <v>1</v>
      </c>
      <c r="O890">
        <v>1</v>
      </c>
      <c r="P890">
        <v>1</v>
      </c>
      <c r="Q890">
        <v>1</v>
      </c>
      <c r="R890">
        <v>1</v>
      </c>
      <c r="S890">
        <v>1</v>
      </c>
    </row>
    <row r="891" spans="1:19" x14ac:dyDescent="0.25">
      <c r="A891" s="1">
        <v>0.62819081018518519</v>
      </c>
      <c r="B891" t="s">
        <v>1</v>
      </c>
      <c r="C891">
        <v>890</v>
      </c>
      <c r="D891">
        <v>0</v>
      </c>
      <c r="E891">
        <v>0</v>
      </c>
      <c r="F891">
        <v>0</v>
      </c>
      <c r="G891">
        <v>0</v>
      </c>
      <c r="H891">
        <v>0</v>
      </c>
      <c r="I891">
        <v>0</v>
      </c>
      <c r="J891">
        <v>0</v>
      </c>
      <c r="K891">
        <v>0</v>
      </c>
      <c r="L891">
        <v>1</v>
      </c>
      <c r="M891">
        <v>1</v>
      </c>
      <c r="N891">
        <v>1</v>
      </c>
      <c r="O891">
        <v>1</v>
      </c>
      <c r="P891">
        <v>1</v>
      </c>
      <c r="Q891">
        <v>1</v>
      </c>
      <c r="R891">
        <v>1</v>
      </c>
      <c r="S891">
        <v>1</v>
      </c>
    </row>
    <row r="892" spans="1:19" x14ac:dyDescent="0.25">
      <c r="A892" s="1">
        <v>0.62819092592592596</v>
      </c>
      <c r="B892" t="s">
        <v>1</v>
      </c>
      <c r="C892">
        <v>891</v>
      </c>
      <c r="D892">
        <v>0</v>
      </c>
      <c r="E892">
        <v>0</v>
      </c>
      <c r="F892">
        <v>0</v>
      </c>
      <c r="G892">
        <v>0</v>
      </c>
      <c r="H892">
        <v>0</v>
      </c>
      <c r="I892">
        <v>0</v>
      </c>
      <c r="J892">
        <v>0</v>
      </c>
      <c r="K892">
        <v>0</v>
      </c>
      <c r="L892">
        <v>1</v>
      </c>
      <c r="M892">
        <v>1</v>
      </c>
      <c r="N892">
        <v>1</v>
      </c>
      <c r="O892">
        <v>1</v>
      </c>
      <c r="P892">
        <v>1</v>
      </c>
      <c r="Q892">
        <v>1</v>
      </c>
      <c r="R892">
        <v>1</v>
      </c>
      <c r="S892">
        <v>1</v>
      </c>
    </row>
    <row r="893" spans="1:19" x14ac:dyDescent="0.25">
      <c r="A893" s="1">
        <v>0.62819104166666662</v>
      </c>
      <c r="B893" t="s">
        <v>1</v>
      </c>
      <c r="C893">
        <v>892</v>
      </c>
      <c r="D893">
        <v>0</v>
      </c>
      <c r="E893">
        <v>0</v>
      </c>
      <c r="F893">
        <v>0</v>
      </c>
      <c r="G893">
        <v>0</v>
      </c>
      <c r="H893">
        <v>0</v>
      </c>
      <c r="I893">
        <v>0</v>
      </c>
      <c r="J893">
        <v>0</v>
      </c>
      <c r="K893">
        <v>0</v>
      </c>
      <c r="L893">
        <v>1</v>
      </c>
      <c r="M893">
        <v>1</v>
      </c>
      <c r="N893">
        <v>1</v>
      </c>
      <c r="O893">
        <v>1</v>
      </c>
      <c r="P893">
        <v>1</v>
      </c>
      <c r="Q893">
        <v>1</v>
      </c>
      <c r="R893">
        <v>1</v>
      </c>
      <c r="S893">
        <v>1</v>
      </c>
    </row>
    <row r="894" spans="1:19" x14ac:dyDescent="0.25">
      <c r="A894" s="1">
        <v>0.62819115740740739</v>
      </c>
      <c r="B894" t="s">
        <v>1</v>
      </c>
      <c r="C894">
        <v>893</v>
      </c>
      <c r="D894">
        <v>0</v>
      </c>
      <c r="E894">
        <v>0</v>
      </c>
      <c r="F894">
        <v>0</v>
      </c>
      <c r="G894">
        <v>0</v>
      </c>
      <c r="H894">
        <v>0</v>
      </c>
      <c r="I894">
        <v>0</v>
      </c>
      <c r="J894">
        <v>0</v>
      </c>
      <c r="K894">
        <v>0</v>
      </c>
      <c r="L894">
        <v>1</v>
      </c>
      <c r="M894">
        <v>1</v>
      </c>
      <c r="N894">
        <v>1</v>
      </c>
      <c r="O894">
        <v>1</v>
      </c>
      <c r="P894">
        <v>1</v>
      </c>
      <c r="Q894">
        <v>1</v>
      </c>
      <c r="R894">
        <v>1</v>
      </c>
      <c r="S894">
        <v>1</v>
      </c>
    </row>
    <row r="895" spans="1:19" x14ac:dyDescent="0.25">
      <c r="A895" s="1">
        <v>0.62819127314814815</v>
      </c>
      <c r="B895" t="s">
        <v>1</v>
      </c>
      <c r="C895">
        <v>894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0</v>
      </c>
      <c r="J895">
        <v>0</v>
      </c>
      <c r="K895">
        <v>0</v>
      </c>
      <c r="L895">
        <v>1</v>
      </c>
      <c r="M895">
        <v>1</v>
      </c>
      <c r="N895">
        <v>1</v>
      </c>
      <c r="O895">
        <v>1</v>
      </c>
      <c r="P895">
        <v>1</v>
      </c>
      <c r="Q895">
        <v>1</v>
      </c>
      <c r="R895">
        <v>1</v>
      </c>
      <c r="S895">
        <v>1</v>
      </c>
    </row>
    <row r="896" spans="1:19" x14ac:dyDescent="0.25">
      <c r="A896" s="1">
        <v>0.62819138888888892</v>
      </c>
      <c r="B896" t="s">
        <v>1</v>
      </c>
      <c r="C896">
        <v>895</v>
      </c>
      <c r="D896">
        <v>0</v>
      </c>
      <c r="E896">
        <v>0</v>
      </c>
      <c r="F896">
        <v>0</v>
      </c>
      <c r="G896">
        <v>0</v>
      </c>
      <c r="H896">
        <v>0</v>
      </c>
      <c r="I896">
        <v>0</v>
      </c>
      <c r="J896">
        <v>0</v>
      </c>
      <c r="K896">
        <v>0</v>
      </c>
      <c r="L896">
        <v>1</v>
      </c>
      <c r="M896">
        <v>1</v>
      </c>
      <c r="N896">
        <v>1</v>
      </c>
      <c r="O896">
        <v>1</v>
      </c>
      <c r="P896">
        <v>1</v>
      </c>
      <c r="Q896">
        <v>1</v>
      </c>
      <c r="R896">
        <v>1</v>
      </c>
      <c r="S896">
        <v>1</v>
      </c>
    </row>
    <row r="897" spans="1:19" x14ac:dyDescent="0.25">
      <c r="A897" s="1">
        <v>0.62819151620370373</v>
      </c>
      <c r="B897" t="s">
        <v>1</v>
      </c>
      <c r="C897">
        <v>896</v>
      </c>
      <c r="D897">
        <v>0</v>
      </c>
      <c r="E897">
        <v>0</v>
      </c>
      <c r="F897">
        <v>0</v>
      </c>
      <c r="G897">
        <v>0</v>
      </c>
      <c r="H897">
        <v>0</v>
      </c>
      <c r="I897">
        <v>0</v>
      </c>
      <c r="J897">
        <v>0</v>
      </c>
      <c r="K897">
        <v>0</v>
      </c>
      <c r="L897">
        <v>1</v>
      </c>
      <c r="M897">
        <v>1</v>
      </c>
      <c r="N897">
        <v>1</v>
      </c>
      <c r="O897">
        <v>1</v>
      </c>
      <c r="P897">
        <v>1</v>
      </c>
      <c r="Q897">
        <v>1</v>
      </c>
      <c r="R897">
        <v>1</v>
      </c>
      <c r="S897">
        <v>1</v>
      </c>
    </row>
    <row r="898" spans="1:19" x14ac:dyDescent="0.25">
      <c r="A898" s="1">
        <v>0.62819162037037035</v>
      </c>
      <c r="B898" t="s">
        <v>1</v>
      </c>
      <c r="C898">
        <v>897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1</v>
      </c>
      <c r="M898">
        <v>1</v>
      </c>
      <c r="N898">
        <v>1</v>
      </c>
      <c r="O898">
        <v>1</v>
      </c>
      <c r="P898">
        <v>1</v>
      </c>
      <c r="Q898">
        <v>1</v>
      </c>
      <c r="R898">
        <v>1</v>
      </c>
      <c r="S898">
        <v>1</v>
      </c>
    </row>
    <row r="899" spans="1:19" x14ac:dyDescent="0.25">
      <c r="A899" s="1">
        <v>0.62819173611111112</v>
      </c>
      <c r="B899" t="s">
        <v>1</v>
      </c>
      <c r="C899">
        <v>898</v>
      </c>
      <c r="D899">
        <v>0</v>
      </c>
      <c r="E899">
        <v>0</v>
      </c>
      <c r="F899">
        <v>0</v>
      </c>
      <c r="G899">
        <v>0</v>
      </c>
      <c r="H899">
        <v>0</v>
      </c>
      <c r="I899">
        <v>0</v>
      </c>
      <c r="J899">
        <v>0</v>
      </c>
      <c r="K899">
        <v>0</v>
      </c>
      <c r="L899">
        <v>1</v>
      </c>
      <c r="M899">
        <v>1</v>
      </c>
      <c r="N899">
        <v>1</v>
      </c>
      <c r="O899">
        <v>1</v>
      </c>
      <c r="P899">
        <v>1</v>
      </c>
      <c r="Q899">
        <v>1</v>
      </c>
      <c r="R899">
        <v>1</v>
      </c>
      <c r="S899">
        <v>1</v>
      </c>
    </row>
    <row r="900" spans="1:19" x14ac:dyDescent="0.25">
      <c r="A900" s="1">
        <v>0.62819185185185189</v>
      </c>
      <c r="B900" t="s">
        <v>1</v>
      </c>
      <c r="C900">
        <v>899</v>
      </c>
      <c r="D900">
        <v>0</v>
      </c>
      <c r="E900">
        <v>0</v>
      </c>
      <c r="F900">
        <v>0</v>
      </c>
      <c r="G900">
        <v>0</v>
      </c>
      <c r="H900">
        <v>0</v>
      </c>
      <c r="I900">
        <v>0</v>
      </c>
      <c r="J900">
        <v>0</v>
      </c>
      <c r="K900">
        <v>0</v>
      </c>
      <c r="L900">
        <v>1</v>
      </c>
      <c r="M900">
        <v>1</v>
      </c>
      <c r="N900">
        <v>1</v>
      </c>
      <c r="O900">
        <v>1</v>
      </c>
      <c r="P900">
        <v>1</v>
      </c>
      <c r="Q900">
        <v>1</v>
      </c>
      <c r="R900">
        <v>1</v>
      </c>
      <c r="S900">
        <v>1</v>
      </c>
    </row>
    <row r="901" spans="1:19" x14ac:dyDescent="0.25">
      <c r="A901" s="1">
        <v>0.62819196759259255</v>
      </c>
      <c r="B901" t="s">
        <v>1</v>
      </c>
      <c r="C901">
        <v>900</v>
      </c>
      <c r="D901">
        <v>0</v>
      </c>
      <c r="E901">
        <v>0</v>
      </c>
      <c r="F901">
        <v>0</v>
      </c>
      <c r="G901">
        <v>0</v>
      </c>
      <c r="H901">
        <v>0</v>
      </c>
      <c r="I901">
        <v>0</v>
      </c>
      <c r="J901">
        <v>0</v>
      </c>
      <c r="K901">
        <v>0</v>
      </c>
      <c r="L901">
        <v>1</v>
      </c>
      <c r="M901">
        <v>1</v>
      </c>
      <c r="N901">
        <v>1</v>
      </c>
      <c r="O901">
        <v>1</v>
      </c>
      <c r="P901">
        <v>1</v>
      </c>
      <c r="Q901">
        <v>1</v>
      </c>
      <c r="R901">
        <v>1</v>
      </c>
      <c r="S901">
        <v>1</v>
      </c>
    </row>
    <row r="902" spans="1:19" x14ac:dyDescent="0.25">
      <c r="A902" s="1">
        <v>0.62819208333333332</v>
      </c>
      <c r="B902" t="s">
        <v>1</v>
      </c>
      <c r="C902">
        <v>901</v>
      </c>
      <c r="D902">
        <v>0</v>
      </c>
      <c r="E902">
        <v>0</v>
      </c>
      <c r="F902">
        <v>0</v>
      </c>
      <c r="G902">
        <v>0</v>
      </c>
      <c r="H902">
        <v>0</v>
      </c>
      <c r="I902">
        <v>0</v>
      </c>
      <c r="J902">
        <v>0</v>
      </c>
      <c r="K902">
        <v>0</v>
      </c>
      <c r="L902">
        <v>1</v>
      </c>
      <c r="M902">
        <v>1</v>
      </c>
      <c r="N902">
        <v>1</v>
      </c>
      <c r="O902">
        <v>1</v>
      </c>
      <c r="P902">
        <v>1</v>
      </c>
      <c r="Q902">
        <v>1</v>
      </c>
      <c r="R902">
        <v>1</v>
      </c>
      <c r="S902">
        <v>1</v>
      </c>
    </row>
    <row r="903" spans="1:19" x14ac:dyDescent="0.25">
      <c r="A903" s="1">
        <v>0.62819219907407409</v>
      </c>
      <c r="B903" t="s">
        <v>1</v>
      </c>
      <c r="C903">
        <v>902</v>
      </c>
      <c r="D903">
        <v>0</v>
      </c>
      <c r="E903">
        <v>0</v>
      </c>
      <c r="F903">
        <v>0</v>
      </c>
      <c r="G903">
        <v>0</v>
      </c>
      <c r="H903">
        <v>0</v>
      </c>
      <c r="I903">
        <v>0</v>
      </c>
      <c r="J903">
        <v>0</v>
      </c>
      <c r="K903">
        <v>0</v>
      </c>
      <c r="L903">
        <v>1</v>
      </c>
      <c r="M903">
        <v>1</v>
      </c>
      <c r="N903">
        <v>1</v>
      </c>
      <c r="O903">
        <v>1</v>
      </c>
      <c r="P903">
        <v>1</v>
      </c>
      <c r="Q903">
        <v>1</v>
      </c>
      <c r="R903">
        <v>1</v>
      </c>
      <c r="S903">
        <v>1</v>
      </c>
    </row>
    <row r="904" spans="1:19" x14ac:dyDescent="0.25">
      <c r="A904" s="1">
        <v>0.62819231481481486</v>
      </c>
      <c r="B904" t="s">
        <v>1</v>
      </c>
      <c r="C904">
        <v>903</v>
      </c>
      <c r="D904">
        <v>0</v>
      </c>
      <c r="E904">
        <v>0</v>
      </c>
      <c r="F904">
        <v>0</v>
      </c>
      <c r="G904">
        <v>0</v>
      </c>
      <c r="H904">
        <v>0</v>
      </c>
      <c r="I904">
        <v>0</v>
      </c>
      <c r="J904">
        <v>0</v>
      </c>
      <c r="K904">
        <v>0</v>
      </c>
      <c r="L904">
        <v>1</v>
      </c>
      <c r="M904">
        <v>1</v>
      </c>
      <c r="N904">
        <v>1</v>
      </c>
      <c r="O904">
        <v>1</v>
      </c>
      <c r="P904">
        <v>1</v>
      </c>
      <c r="Q904">
        <v>1</v>
      </c>
      <c r="R904">
        <v>1</v>
      </c>
      <c r="S904">
        <v>1</v>
      </c>
    </row>
    <row r="905" spans="1:19" x14ac:dyDescent="0.25">
      <c r="A905" s="1">
        <v>0.62819243055555551</v>
      </c>
      <c r="B905" t="s">
        <v>1</v>
      </c>
      <c r="C905">
        <v>904</v>
      </c>
      <c r="D905">
        <v>0</v>
      </c>
      <c r="E905">
        <v>0</v>
      </c>
      <c r="F905">
        <v>0</v>
      </c>
      <c r="G905">
        <v>0</v>
      </c>
      <c r="H905">
        <v>0</v>
      </c>
      <c r="I905">
        <v>0</v>
      </c>
      <c r="J905">
        <v>0</v>
      </c>
      <c r="K905">
        <v>0</v>
      </c>
      <c r="L905">
        <v>1</v>
      </c>
      <c r="M905">
        <v>1</v>
      </c>
      <c r="N905">
        <v>1</v>
      </c>
      <c r="O905">
        <v>1</v>
      </c>
      <c r="P905">
        <v>1</v>
      </c>
      <c r="Q905">
        <v>1</v>
      </c>
      <c r="R905">
        <v>1</v>
      </c>
      <c r="S905">
        <v>1</v>
      </c>
    </row>
    <row r="906" spans="1:19" x14ac:dyDescent="0.25">
      <c r="A906" s="1">
        <v>0.62819254629629628</v>
      </c>
      <c r="B906" t="s">
        <v>1</v>
      </c>
      <c r="C906">
        <v>905</v>
      </c>
      <c r="D906">
        <v>0</v>
      </c>
      <c r="E906">
        <v>0</v>
      </c>
      <c r="F906">
        <v>0</v>
      </c>
      <c r="G906">
        <v>0</v>
      </c>
      <c r="H906">
        <v>0</v>
      </c>
      <c r="I906">
        <v>0</v>
      </c>
      <c r="J906">
        <v>0</v>
      </c>
      <c r="K906">
        <v>0</v>
      </c>
      <c r="L906">
        <v>1</v>
      </c>
      <c r="M906">
        <v>1</v>
      </c>
      <c r="N906">
        <v>1</v>
      </c>
      <c r="O906">
        <v>1</v>
      </c>
      <c r="P906">
        <v>1</v>
      </c>
      <c r="Q906">
        <v>1</v>
      </c>
      <c r="R906">
        <v>1</v>
      </c>
      <c r="S906">
        <v>1</v>
      </c>
    </row>
    <row r="907" spans="1:19" x14ac:dyDescent="0.25">
      <c r="A907" s="1">
        <v>0.62819266203703705</v>
      </c>
      <c r="B907" t="s">
        <v>1</v>
      </c>
      <c r="C907">
        <v>906</v>
      </c>
      <c r="D907">
        <v>0</v>
      </c>
      <c r="E907">
        <v>0</v>
      </c>
      <c r="F907">
        <v>0</v>
      </c>
      <c r="G907">
        <v>0</v>
      </c>
      <c r="H907">
        <v>0</v>
      </c>
      <c r="I907">
        <v>0</v>
      </c>
      <c r="J907">
        <v>0</v>
      </c>
      <c r="K907">
        <v>0</v>
      </c>
      <c r="L907">
        <v>1</v>
      </c>
      <c r="M907">
        <v>1</v>
      </c>
      <c r="N907">
        <v>1</v>
      </c>
      <c r="O907">
        <v>1</v>
      </c>
      <c r="P907">
        <v>1</v>
      </c>
      <c r="Q907">
        <v>1</v>
      </c>
      <c r="R907">
        <v>1</v>
      </c>
      <c r="S907">
        <v>1</v>
      </c>
    </row>
    <row r="908" spans="1:19" x14ac:dyDescent="0.25">
      <c r="A908" s="1">
        <v>0.62819277777777782</v>
      </c>
      <c r="B908" t="s">
        <v>1</v>
      </c>
      <c r="C908">
        <v>907</v>
      </c>
      <c r="D908">
        <v>0</v>
      </c>
      <c r="E908">
        <v>0</v>
      </c>
      <c r="F908">
        <v>0</v>
      </c>
      <c r="G908">
        <v>0</v>
      </c>
      <c r="H908">
        <v>0</v>
      </c>
      <c r="I908">
        <v>0</v>
      </c>
      <c r="J908">
        <v>0</v>
      </c>
      <c r="K908">
        <v>0</v>
      </c>
      <c r="L908">
        <v>1</v>
      </c>
      <c r="M908">
        <v>1</v>
      </c>
      <c r="N908">
        <v>1</v>
      </c>
      <c r="O908">
        <v>1</v>
      </c>
      <c r="P908">
        <v>1</v>
      </c>
      <c r="Q908">
        <v>1</v>
      </c>
      <c r="R908">
        <v>1</v>
      </c>
      <c r="S908">
        <v>1</v>
      </c>
    </row>
    <row r="909" spans="1:19" x14ac:dyDescent="0.25">
      <c r="A909" s="1">
        <v>0.62819289351851848</v>
      </c>
      <c r="B909" t="s">
        <v>1</v>
      </c>
      <c r="C909">
        <v>908</v>
      </c>
      <c r="D909">
        <v>0</v>
      </c>
      <c r="E909">
        <v>0</v>
      </c>
      <c r="F909">
        <v>0</v>
      </c>
      <c r="G909">
        <v>0</v>
      </c>
      <c r="H909">
        <v>0</v>
      </c>
      <c r="I909">
        <v>0</v>
      </c>
      <c r="J909">
        <v>0</v>
      </c>
      <c r="K909">
        <v>0</v>
      </c>
      <c r="L909">
        <v>1</v>
      </c>
      <c r="M909">
        <v>1</v>
      </c>
      <c r="N909">
        <v>1</v>
      </c>
      <c r="O909">
        <v>1</v>
      </c>
      <c r="P909">
        <v>1</v>
      </c>
      <c r="Q909">
        <v>1</v>
      </c>
      <c r="R909">
        <v>1</v>
      </c>
      <c r="S909">
        <v>1</v>
      </c>
    </row>
    <row r="910" spans="1:19" x14ac:dyDescent="0.25">
      <c r="A910" s="1">
        <v>0.62819312500000002</v>
      </c>
      <c r="B910" t="s">
        <v>2</v>
      </c>
      <c r="C910">
        <v>909</v>
      </c>
      <c r="D910">
        <v>0</v>
      </c>
      <c r="E910">
        <v>1</v>
      </c>
      <c r="F910">
        <v>0</v>
      </c>
      <c r="G910">
        <v>0</v>
      </c>
      <c r="H910">
        <v>0</v>
      </c>
      <c r="I910">
        <v>0</v>
      </c>
      <c r="J910">
        <v>0</v>
      </c>
      <c r="K910">
        <v>0</v>
      </c>
      <c r="L910">
        <v>1</v>
      </c>
      <c r="M910">
        <v>1</v>
      </c>
      <c r="N910">
        <v>1</v>
      </c>
      <c r="O910">
        <v>1</v>
      </c>
      <c r="P910">
        <v>1</v>
      </c>
      <c r="Q910">
        <v>1</v>
      </c>
      <c r="R910">
        <v>1</v>
      </c>
      <c r="S910">
        <v>1</v>
      </c>
    </row>
    <row r="911" spans="1:19" x14ac:dyDescent="0.25">
      <c r="A911" s="1">
        <v>0.62819324074074079</v>
      </c>
      <c r="B911" t="s">
        <v>2</v>
      </c>
      <c r="C911">
        <v>910</v>
      </c>
      <c r="D911">
        <v>0</v>
      </c>
      <c r="E911">
        <v>1</v>
      </c>
      <c r="F911">
        <v>0</v>
      </c>
      <c r="G911">
        <v>0</v>
      </c>
      <c r="H911">
        <v>0</v>
      </c>
      <c r="I911">
        <v>0</v>
      </c>
      <c r="J911">
        <v>0</v>
      </c>
      <c r="K911">
        <v>0</v>
      </c>
      <c r="L911">
        <v>1</v>
      </c>
      <c r="M911">
        <v>1</v>
      </c>
      <c r="N911">
        <v>1</v>
      </c>
      <c r="O911">
        <v>1</v>
      </c>
      <c r="P911">
        <v>1</v>
      </c>
      <c r="Q911">
        <v>1</v>
      </c>
      <c r="R911">
        <v>1</v>
      </c>
      <c r="S911">
        <v>1</v>
      </c>
    </row>
    <row r="912" spans="1:19" x14ac:dyDescent="0.25">
      <c r="A912" s="1">
        <v>0.62819335648148145</v>
      </c>
      <c r="B912" t="s">
        <v>2</v>
      </c>
      <c r="C912">
        <v>911</v>
      </c>
      <c r="D912">
        <v>0</v>
      </c>
      <c r="E912">
        <v>1</v>
      </c>
      <c r="F912">
        <v>0</v>
      </c>
      <c r="G912">
        <v>0</v>
      </c>
      <c r="H912">
        <v>0</v>
      </c>
      <c r="I912">
        <v>0</v>
      </c>
      <c r="J912">
        <v>0</v>
      </c>
      <c r="K912">
        <v>0</v>
      </c>
      <c r="L912">
        <v>1</v>
      </c>
      <c r="M912">
        <v>1</v>
      </c>
      <c r="N912">
        <v>1</v>
      </c>
      <c r="O912">
        <v>1</v>
      </c>
      <c r="P912">
        <v>1</v>
      </c>
      <c r="Q912">
        <v>1</v>
      </c>
      <c r="R912">
        <v>1</v>
      </c>
      <c r="S912">
        <v>1</v>
      </c>
    </row>
    <row r="913" spans="1:19" x14ac:dyDescent="0.25">
      <c r="A913" s="1">
        <v>0.62819347222222222</v>
      </c>
      <c r="B913" t="s">
        <v>2</v>
      </c>
      <c r="C913">
        <v>912</v>
      </c>
      <c r="D913">
        <v>0</v>
      </c>
      <c r="E913">
        <v>1</v>
      </c>
      <c r="F913">
        <v>0</v>
      </c>
      <c r="G913">
        <v>0</v>
      </c>
      <c r="H913">
        <v>0</v>
      </c>
      <c r="I913">
        <v>0</v>
      </c>
      <c r="J913">
        <v>0</v>
      </c>
      <c r="K913">
        <v>0</v>
      </c>
      <c r="L913">
        <v>1</v>
      </c>
      <c r="M913">
        <v>1</v>
      </c>
      <c r="N913">
        <v>1</v>
      </c>
      <c r="O913">
        <v>1</v>
      </c>
      <c r="P913">
        <v>1</v>
      </c>
      <c r="Q913">
        <v>1</v>
      </c>
      <c r="R913">
        <v>1</v>
      </c>
      <c r="S913">
        <v>1</v>
      </c>
    </row>
    <row r="914" spans="1:19" x14ac:dyDescent="0.25">
      <c r="A914" s="1">
        <v>0.62819357638888884</v>
      </c>
      <c r="B914" t="s">
        <v>2</v>
      </c>
      <c r="C914">
        <v>913</v>
      </c>
      <c r="D914">
        <v>0</v>
      </c>
      <c r="E914">
        <v>1</v>
      </c>
      <c r="F914">
        <v>0</v>
      </c>
      <c r="G914">
        <v>0</v>
      </c>
      <c r="H914">
        <v>0</v>
      </c>
      <c r="I914">
        <v>0</v>
      </c>
      <c r="J914">
        <v>0</v>
      </c>
      <c r="K914">
        <v>0</v>
      </c>
      <c r="L914">
        <v>1</v>
      </c>
      <c r="M914">
        <v>1</v>
      </c>
      <c r="N914">
        <v>1</v>
      </c>
      <c r="O914">
        <v>1</v>
      </c>
      <c r="P914">
        <v>1</v>
      </c>
      <c r="Q914">
        <v>1</v>
      </c>
      <c r="R914">
        <v>1</v>
      </c>
      <c r="S914">
        <v>1</v>
      </c>
    </row>
    <row r="915" spans="1:19" x14ac:dyDescent="0.25">
      <c r="A915" s="1">
        <v>0.62819369212962961</v>
      </c>
      <c r="B915" t="s">
        <v>2</v>
      </c>
      <c r="C915">
        <v>914</v>
      </c>
      <c r="D915">
        <v>0</v>
      </c>
      <c r="E915">
        <v>1</v>
      </c>
      <c r="F915">
        <v>0</v>
      </c>
      <c r="G915">
        <v>0</v>
      </c>
      <c r="H915">
        <v>0</v>
      </c>
      <c r="I915">
        <v>0</v>
      </c>
      <c r="J915">
        <v>0</v>
      </c>
      <c r="K915">
        <v>0</v>
      </c>
      <c r="L915">
        <v>1</v>
      </c>
      <c r="M915">
        <v>1</v>
      </c>
      <c r="N915">
        <v>1</v>
      </c>
      <c r="O915">
        <v>1</v>
      </c>
      <c r="P915">
        <v>1</v>
      </c>
      <c r="Q915">
        <v>1</v>
      </c>
      <c r="R915">
        <v>1</v>
      </c>
      <c r="S915">
        <v>1</v>
      </c>
    </row>
    <row r="916" spans="1:19" x14ac:dyDescent="0.25">
      <c r="A916" s="1">
        <v>0.62819380787037038</v>
      </c>
      <c r="B916" t="s">
        <v>2</v>
      </c>
      <c r="C916">
        <v>915</v>
      </c>
      <c r="D916">
        <v>0</v>
      </c>
      <c r="E916">
        <v>1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1</v>
      </c>
      <c r="M916">
        <v>1</v>
      </c>
      <c r="N916">
        <v>1</v>
      </c>
      <c r="O916">
        <v>1</v>
      </c>
      <c r="P916">
        <v>1</v>
      </c>
      <c r="Q916">
        <v>1</v>
      </c>
      <c r="R916">
        <v>1</v>
      </c>
      <c r="S916">
        <v>1</v>
      </c>
    </row>
    <row r="917" spans="1:19" x14ac:dyDescent="0.25">
      <c r="A917" s="1">
        <v>0.62819392361111115</v>
      </c>
      <c r="B917" t="s">
        <v>2</v>
      </c>
      <c r="C917">
        <v>916</v>
      </c>
      <c r="D917">
        <v>0</v>
      </c>
      <c r="E917">
        <v>1</v>
      </c>
      <c r="F917">
        <v>0</v>
      </c>
      <c r="G917">
        <v>0</v>
      </c>
      <c r="H917">
        <v>0</v>
      </c>
      <c r="I917">
        <v>0</v>
      </c>
      <c r="J917">
        <v>0</v>
      </c>
      <c r="K917">
        <v>0</v>
      </c>
      <c r="L917">
        <v>1</v>
      </c>
      <c r="M917">
        <v>1</v>
      </c>
      <c r="N917">
        <v>1</v>
      </c>
      <c r="O917">
        <v>1</v>
      </c>
      <c r="P917">
        <v>1</v>
      </c>
      <c r="Q917">
        <v>1</v>
      </c>
      <c r="R917">
        <v>1</v>
      </c>
      <c r="S917">
        <v>1</v>
      </c>
    </row>
    <row r="918" spans="1:19" x14ac:dyDescent="0.25">
      <c r="A918" s="1">
        <v>0.62819403935185181</v>
      </c>
      <c r="B918" t="s">
        <v>1</v>
      </c>
      <c r="C918">
        <v>917</v>
      </c>
      <c r="D918">
        <v>0</v>
      </c>
      <c r="E918">
        <v>0</v>
      </c>
      <c r="F918">
        <v>0</v>
      </c>
      <c r="G918">
        <v>0</v>
      </c>
      <c r="H918">
        <v>0</v>
      </c>
      <c r="I918">
        <v>0</v>
      </c>
      <c r="J918">
        <v>0</v>
      </c>
      <c r="K918">
        <v>0</v>
      </c>
      <c r="L918">
        <v>1</v>
      </c>
      <c r="M918">
        <v>1</v>
      </c>
      <c r="N918">
        <v>1</v>
      </c>
      <c r="O918">
        <v>1</v>
      </c>
      <c r="P918">
        <v>1</v>
      </c>
      <c r="Q918">
        <v>1</v>
      </c>
      <c r="R918">
        <v>1</v>
      </c>
      <c r="S918">
        <v>1</v>
      </c>
    </row>
    <row r="919" spans="1:19" x14ac:dyDescent="0.25">
      <c r="A919" s="1">
        <v>0.62819415509259258</v>
      </c>
      <c r="B919" t="s">
        <v>1</v>
      </c>
      <c r="C919">
        <v>918</v>
      </c>
      <c r="D919">
        <v>0</v>
      </c>
      <c r="E919">
        <v>0</v>
      </c>
      <c r="F919">
        <v>0</v>
      </c>
      <c r="G919">
        <v>0</v>
      </c>
      <c r="H919">
        <v>0</v>
      </c>
      <c r="I919">
        <v>0</v>
      </c>
      <c r="J919">
        <v>0</v>
      </c>
      <c r="K919">
        <v>0</v>
      </c>
      <c r="L919">
        <v>1</v>
      </c>
      <c r="M919">
        <v>1</v>
      </c>
      <c r="N919">
        <v>1</v>
      </c>
      <c r="O919">
        <v>1</v>
      </c>
      <c r="P919">
        <v>1</v>
      </c>
      <c r="Q919">
        <v>1</v>
      </c>
      <c r="R919">
        <v>1</v>
      </c>
      <c r="S919">
        <v>1</v>
      </c>
    </row>
    <row r="920" spans="1:19" x14ac:dyDescent="0.25">
      <c r="A920" s="1">
        <v>0.62819427083333335</v>
      </c>
      <c r="B920" t="s">
        <v>1</v>
      </c>
      <c r="C920">
        <v>919</v>
      </c>
      <c r="D920">
        <v>0</v>
      </c>
      <c r="E920">
        <v>0</v>
      </c>
      <c r="F920">
        <v>0</v>
      </c>
      <c r="G920">
        <v>0</v>
      </c>
      <c r="H920">
        <v>0</v>
      </c>
      <c r="I920">
        <v>0</v>
      </c>
      <c r="J920">
        <v>0</v>
      </c>
      <c r="K920">
        <v>0</v>
      </c>
      <c r="L920">
        <v>1</v>
      </c>
      <c r="M920">
        <v>1</v>
      </c>
      <c r="N920">
        <v>1</v>
      </c>
      <c r="O920">
        <v>1</v>
      </c>
      <c r="P920">
        <v>1</v>
      </c>
      <c r="Q920">
        <v>1</v>
      </c>
      <c r="R920">
        <v>1</v>
      </c>
      <c r="S920">
        <v>1</v>
      </c>
    </row>
    <row r="921" spans="1:19" x14ac:dyDescent="0.25">
      <c r="A921" s="1">
        <v>0.62819438657407412</v>
      </c>
      <c r="B921" t="s">
        <v>1</v>
      </c>
      <c r="C921">
        <v>920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1</v>
      </c>
      <c r="M921">
        <v>1</v>
      </c>
      <c r="N921">
        <v>1</v>
      </c>
      <c r="O921">
        <v>1</v>
      </c>
      <c r="P921">
        <v>1</v>
      </c>
      <c r="Q921">
        <v>1</v>
      </c>
      <c r="R921">
        <v>1</v>
      </c>
      <c r="S921">
        <v>1</v>
      </c>
    </row>
    <row r="922" spans="1:19" x14ac:dyDescent="0.25">
      <c r="A922" s="1">
        <v>0.62819450231481477</v>
      </c>
      <c r="B922" t="s">
        <v>1</v>
      </c>
      <c r="C922">
        <v>921</v>
      </c>
      <c r="D922">
        <v>0</v>
      </c>
      <c r="E922">
        <v>0</v>
      </c>
      <c r="F922">
        <v>0</v>
      </c>
      <c r="G922">
        <v>0</v>
      </c>
      <c r="H922">
        <v>0</v>
      </c>
      <c r="I922">
        <v>0</v>
      </c>
      <c r="J922">
        <v>0</v>
      </c>
      <c r="K922">
        <v>0</v>
      </c>
      <c r="L922">
        <v>1</v>
      </c>
      <c r="M922">
        <v>1</v>
      </c>
      <c r="N922">
        <v>1</v>
      </c>
      <c r="O922">
        <v>1</v>
      </c>
      <c r="P922">
        <v>1</v>
      </c>
      <c r="Q922">
        <v>1</v>
      </c>
      <c r="R922">
        <v>1</v>
      </c>
      <c r="S922">
        <v>1</v>
      </c>
    </row>
    <row r="923" spans="1:19" x14ac:dyDescent="0.25">
      <c r="A923" s="1">
        <v>0.62819461805555554</v>
      </c>
      <c r="B923" t="s">
        <v>1</v>
      </c>
      <c r="C923">
        <v>922</v>
      </c>
      <c r="D923">
        <v>0</v>
      </c>
      <c r="E923">
        <v>0</v>
      </c>
      <c r="F923">
        <v>0</v>
      </c>
      <c r="G923">
        <v>0</v>
      </c>
      <c r="H923">
        <v>0</v>
      </c>
      <c r="I923">
        <v>0</v>
      </c>
      <c r="J923">
        <v>0</v>
      </c>
      <c r="K923">
        <v>0</v>
      </c>
      <c r="L923">
        <v>1</v>
      </c>
      <c r="M923">
        <v>1</v>
      </c>
      <c r="N923">
        <v>1</v>
      </c>
      <c r="O923">
        <v>1</v>
      </c>
      <c r="P923">
        <v>1</v>
      </c>
      <c r="Q923">
        <v>1</v>
      </c>
      <c r="R923">
        <v>1</v>
      </c>
      <c r="S923">
        <v>1</v>
      </c>
    </row>
    <row r="924" spans="1:19" x14ac:dyDescent="0.25">
      <c r="A924" s="1">
        <v>0.62819473379629631</v>
      </c>
      <c r="B924" t="s">
        <v>1</v>
      </c>
      <c r="C924">
        <v>923</v>
      </c>
      <c r="D924">
        <v>0</v>
      </c>
      <c r="E924">
        <v>0</v>
      </c>
      <c r="F924">
        <v>0</v>
      </c>
      <c r="G924">
        <v>0</v>
      </c>
      <c r="H924">
        <v>0</v>
      </c>
      <c r="I924">
        <v>0</v>
      </c>
      <c r="J924">
        <v>0</v>
      </c>
      <c r="K924">
        <v>0</v>
      </c>
      <c r="L924">
        <v>1</v>
      </c>
      <c r="M924">
        <v>1</v>
      </c>
      <c r="N924">
        <v>1</v>
      </c>
      <c r="O924">
        <v>1</v>
      </c>
      <c r="P924">
        <v>1</v>
      </c>
      <c r="Q924">
        <v>1</v>
      </c>
      <c r="R924">
        <v>1</v>
      </c>
      <c r="S924">
        <v>1</v>
      </c>
    </row>
    <row r="925" spans="1:19" x14ac:dyDescent="0.25">
      <c r="A925" s="1">
        <v>0.62819484953703708</v>
      </c>
      <c r="B925" t="s">
        <v>1</v>
      </c>
      <c r="C925">
        <v>924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0</v>
      </c>
      <c r="J925">
        <v>0</v>
      </c>
      <c r="K925">
        <v>0</v>
      </c>
      <c r="L925">
        <v>1</v>
      </c>
      <c r="M925">
        <v>1</v>
      </c>
      <c r="N925">
        <v>1</v>
      </c>
      <c r="O925">
        <v>1</v>
      </c>
      <c r="P925">
        <v>1</v>
      </c>
      <c r="Q925">
        <v>1</v>
      </c>
      <c r="R925">
        <v>1</v>
      </c>
      <c r="S925">
        <v>1</v>
      </c>
    </row>
    <row r="926" spans="1:19" x14ac:dyDescent="0.25">
      <c r="A926" s="1">
        <v>0.62819496527777774</v>
      </c>
      <c r="B926" t="s">
        <v>1</v>
      </c>
      <c r="C926">
        <v>925</v>
      </c>
      <c r="D926">
        <v>0</v>
      </c>
      <c r="E926">
        <v>0</v>
      </c>
      <c r="F926">
        <v>0</v>
      </c>
      <c r="G926">
        <v>0</v>
      </c>
      <c r="H926">
        <v>0</v>
      </c>
      <c r="I926">
        <v>0</v>
      </c>
      <c r="J926">
        <v>0</v>
      </c>
      <c r="K926">
        <v>0</v>
      </c>
      <c r="L926">
        <v>1</v>
      </c>
      <c r="M926">
        <v>1</v>
      </c>
      <c r="N926">
        <v>1</v>
      </c>
      <c r="O926">
        <v>1</v>
      </c>
      <c r="P926">
        <v>1</v>
      </c>
      <c r="Q926">
        <v>1</v>
      </c>
      <c r="R926">
        <v>1</v>
      </c>
      <c r="S926">
        <v>1</v>
      </c>
    </row>
    <row r="927" spans="1:19" x14ac:dyDescent="0.25">
      <c r="A927" s="1">
        <v>0.62819509259259254</v>
      </c>
      <c r="B927" t="s">
        <v>1</v>
      </c>
      <c r="C927">
        <v>926</v>
      </c>
      <c r="D927">
        <v>0</v>
      </c>
      <c r="E927">
        <v>0</v>
      </c>
      <c r="F927">
        <v>0</v>
      </c>
      <c r="G927">
        <v>0</v>
      </c>
      <c r="H927">
        <v>0</v>
      </c>
      <c r="I927">
        <v>0</v>
      </c>
      <c r="J927">
        <v>0</v>
      </c>
      <c r="K927">
        <v>0</v>
      </c>
      <c r="L927">
        <v>1</v>
      </c>
      <c r="M927">
        <v>1</v>
      </c>
      <c r="N927">
        <v>1</v>
      </c>
      <c r="O927">
        <v>1</v>
      </c>
      <c r="P927">
        <v>1</v>
      </c>
      <c r="Q927">
        <v>1</v>
      </c>
      <c r="R927">
        <v>1</v>
      </c>
      <c r="S927">
        <v>1</v>
      </c>
    </row>
    <row r="928" spans="1:19" x14ac:dyDescent="0.25">
      <c r="A928" s="1">
        <v>0.62819519675925928</v>
      </c>
      <c r="B928" t="s">
        <v>1</v>
      </c>
      <c r="C928">
        <v>927</v>
      </c>
      <c r="D928">
        <v>0</v>
      </c>
      <c r="E928">
        <v>0</v>
      </c>
      <c r="F928">
        <v>0</v>
      </c>
      <c r="G928">
        <v>0</v>
      </c>
      <c r="H928">
        <v>0</v>
      </c>
      <c r="I928">
        <v>0</v>
      </c>
      <c r="J928">
        <v>0</v>
      </c>
      <c r="K928">
        <v>0</v>
      </c>
      <c r="L928">
        <v>1</v>
      </c>
      <c r="M928">
        <v>1</v>
      </c>
      <c r="N928">
        <v>1</v>
      </c>
      <c r="O928">
        <v>1</v>
      </c>
      <c r="P928">
        <v>1</v>
      </c>
      <c r="Q928">
        <v>1</v>
      </c>
      <c r="R928">
        <v>1</v>
      </c>
      <c r="S928">
        <v>1</v>
      </c>
    </row>
    <row r="929" spans="1:19" x14ac:dyDescent="0.25">
      <c r="A929" s="1">
        <v>0.62819531250000005</v>
      </c>
      <c r="B929" t="s">
        <v>1</v>
      </c>
      <c r="C929">
        <v>928</v>
      </c>
      <c r="D929">
        <v>0</v>
      </c>
      <c r="E929">
        <v>0</v>
      </c>
      <c r="F929">
        <v>0</v>
      </c>
      <c r="G929">
        <v>0</v>
      </c>
      <c r="H929">
        <v>0</v>
      </c>
      <c r="I929">
        <v>0</v>
      </c>
      <c r="J929">
        <v>0</v>
      </c>
      <c r="K929">
        <v>0</v>
      </c>
      <c r="L929">
        <v>1</v>
      </c>
      <c r="M929">
        <v>1</v>
      </c>
      <c r="N929">
        <v>1</v>
      </c>
      <c r="O929">
        <v>1</v>
      </c>
      <c r="P929">
        <v>1</v>
      </c>
      <c r="Q929">
        <v>1</v>
      </c>
      <c r="R929">
        <v>1</v>
      </c>
      <c r="S929">
        <v>1</v>
      </c>
    </row>
    <row r="930" spans="1:19" x14ac:dyDescent="0.25">
      <c r="A930" s="1">
        <v>0.62819542824074071</v>
      </c>
      <c r="B930" t="s">
        <v>1</v>
      </c>
      <c r="C930">
        <v>929</v>
      </c>
      <c r="D930">
        <v>0</v>
      </c>
      <c r="E930">
        <v>0</v>
      </c>
      <c r="F930">
        <v>0</v>
      </c>
      <c r="G930">
        <v>0</v>
      </c>
      <c r="H930">
        <v>0</v>
      </c>
      <c r="I930">
        <v>0</v>
      </c>
      <c r="J930">
        <v>0</v>
      </c>
      <c r="K930">
        <v>0</v>
      </c>
      <c r="L930">
        <v>1</v>
      </c>
      <c r="M930">
        <v>1</v>
      </c>
      <c r="N930">
        <v>1</v>
      </c>
      <c r="O930">
        <v>1</v>
      </c>
      <c r="P930">
        <v>1</v>
      </c>
      <c r="Q930">
        <v>1</v>
      </c>
      <c r="R930">
        <v>1</v>
      </c>
      <c r="S930">
        <v>1</v>
      </c>
    </row>
    <row r="931" spans="1:19" x14ac:dyDescent="0.25">
      <c r="A931" s="1">
        <v>0.62819554398148147</v>
      </c>
      <c r="B931" t="s">
        <v>1</v>
      </c>
      <c r="C931">
        <v>930</v>
      </c>
      <c r="D931">
        <v>0</v>
      </c>
      <c r="E931">
        <v>0</v>
      </c>
      <c r="F931">
        <v>0</v>
      </c>
      <c r="G931">
        <v>0</v>
      </c>
      <c r="H931">
        <v>0</v>
      </c>
      <c r="I931">
        <v>0</v>
      </c>
      <c r="J931">
        <v>0</v>
      </c>
      <c r="K931">
        <v>0</v>
      </c>
      <c r="L931">
        <v>1</v>
      </c>
      <c r="M931">
        <v>1</v>
      </c>
      <c r="N931">
        <v>1</v>
      </c>
      <c r="O931">
        <v>1</v>
      </c>
      <c r="P931">
        <v>1</v>
      </c>
      <c r="Q931">
        <v>1</v>
      </c>
      <c r="R931">
        <v>1</v>
      </c>
      <c r="S931">
        <v>1</v>
      </c>
    </row>
    <row r="932" spans="1:19" x14ac:dyDescent="0.25">
      <c r="A932" s="1">
        <v>0.62819565972222224</v>
      </c>
      <c r="B932" t="s">
        <v>1</v>
      </c>
      <c r="C932">
        <v>931</v>
      </c>
      <c r="D932">
        <v>0</v>
      </c>
      <c r="E932">
        <v>0</v>
      </c>
      <c r="F932">
        <v>0</v>
      </c>
      <c r="G932">
        <v>0</v>
      </c>
      <c r="H932">
        <v>0</v>
      </c>
      <c r="I932">
        <v>0</v>
      </c>
      <c r="J932">
        <v>0</v>
      </c>
      <c r="K932">
        <v>0</v>
      </c>
      <c r="L932">
        <v>1</v>
      </c>
      <c r="M932">
        <v>1</v>
      </c>
      <c r="N932">
        <v>1</v>
      </c>
      <c r="O932">
        <v>1</v>
      </c>
      <c r="P932">
        <v>1</v>
      </c>
      <c r="Q932">
        <v>1</v>
      </c>
      <c r="R932">
        <v>1</v>
      </c>
      <c r="S932">
        <v>1</v>
      </c>
    </row>
    <row r="933" spans="1:19" x14ac:dyDescent="0.25">
      <c r="A933" s="1">
        <v>0.62819577546296301</v>
      </c>
      <c r="B933" t="s">
        <v>1</v>
      </c>
      <c r="C933">
        <v>932</v>
      </c>
      <c r="D933">
        <v>0</v>
      </c>
      <c r="E933">
        <v>0</v>
      </c>
      <c r="F933">
        <v>0</v>
      </c>
      <c r="G933">
        <v>0</v>
      </c>
      <c r="H933">
        <v>0</v>
      </c>
      <c r="I933">
        <v>0</v>
      </c>
      <c r="J933">
        <v>0</v>
      </c>
      <c r="K933">
        <v>0</v>
      </c>
      <c r="L933">
        <v>1</v>
      </c>
      <c r="M933">
        <v>1</v>
      </c>
      <c r="N933">
        <v>1</v>
      </c>
      <c r="O933">
        <v>1</v>
      </c>
      <c r="P933">
        <v>1</v>
      </c>
      <c r="Q933">
        <v>1</v>
      </c>
      <c r="R933">
        <v>1</v>
      </c>
      <c r="S933">
        <v>1</v>
      </c>
    </row>
    <row r="934" spans="1:19" x14ac:dyDescent="0.25">
      <c r="A934" s="1">
        <v>0.62819589120370367</v>
      </c>
      <c r="B934" t="s">
        <v>1</v>
      </c>
      <c r="C934">
        <v>933</v>
      </c>
      <c r="D934">
        <v>0</v>
      </c>
      <c r="E934">
        <v>0</v>
      </c>
      <c r="F934">
        <v>0</v>
      </c>
      <c r="G934">
        <v>0</v>
      </c>
      <c r="H934">
        <v>0</v>
      </c>
      <c r="I934">
        <v>0</v>
      </c>
      <c r="J934">
        <v>0</v>
      </c>
      <c r="K934">
        <v>0</v>
      </c>
      <c r="L934">
        <v>1</v>
      </c>
      <c r="M934">
        <v>1</v>
      </c>
      <c r="N934">
        <v>1</v>
      </c>
      <c r="O934">
        <v>1</v>
      </c>
      <c r="P934">
        <v>1</v>
      </c>
      <c r="Q934">
        <v>1</v>
      </c>
      <c r="R934">
        <v>1</v>
      </c>
      <c r="S934">
        <v>1</v>
      </c>
    </row>
    <row r="935" spans="1:19" x14ac:dyDescent="0.25">
      <c r="A935" s="1">
        <v>0.62819600694444444</v>
      </c>
      <c r="B935" t="s">
        <v>1</v>
      </c>
      <c r="C935">
        <v>934</v>
      </c>
      <c r="D935">
        <v>0</v>
      </c>
      <c r="E935">
        <v>0</v>
      </c>
      <c r="F935">
        <v>0</v>
      </c>
      <c r="G935">
        <v>0</v>
      </c>
      <c r="H935">
        <v>0</v>
      </c>
      <c r="I935">
        <v>0</v>
      </c>
      <c r="J935">
        <v>0</v>
      </c>
      <c r="K935">
        <v>0</v>
      </c>
      <c r="L935">
        <v>1</v>
      </c>
      <c r="M935">
        <v>1</v>
      </c>
      <c r="N935">
        <v>1</v>
      </c>
      <c r="O935">
        <v>1</v>
      </c>
      <c r="P935">
        <v>1</v>
      </c>
      <c r="Q935">
        <v>1</v>
      </c>
      <c r="R935">
        <v>1</v>
      </c>
      <c r="S935">
        <v>1</v>
      </c>
    </row>
    <row r="936" spans="1:19" x14ac:dyDescent="0.25">
      <c r="A936" s="1">
        <v>0.62819612268518521</v>
      </c>
      <c r="B936" t="s">
        <v>1</v>
      </c>
      <c r="C936">
        <v>935</v>
      </c>
      <c r="D936">
        <v>0</v>
      </c>
      <c r="E936">
        <v>0</v>
      </c>
      <c r="F936">
        <v>0</v>
      </c>
      <c r="G936">
        <v>0</v>
      </c>
      <c r="H936">
        <v>0</v>
      </c>
      <c r="I936">
        <v>0</v>
      </c>
      <c r="J936">
        <v>0</v>
      </c>
      <c r="K936">
        <v>0</v>
      </c>
      <c r="L936">
        <v>1</v>
      </c>
      <c r="M936">
        <v>1</v>
      </c>
      <c r="N936">
        <v>1</v>
      </c>
      <c r="O936">
        <v>1</v>
      </c>
      <c r="P936">
        <v>1</v>
      </c>
      <c r="Q936">
        <v>1</v>
      </c>
      <c r="R936">
        <v>1</v>
      </c>
      <c r="S936">
        <v>1</v>
      </c>
    </row>
    <row r="937" spans="1:19" x14ac:dyDescent="0.25">
      <c r="A937" s="1">
        <v>0.62819623842592598</v>
      </c>
      <c r="B937" t="s">
        <v>1</v>
      </c>
      <c r="C937">
        <v>936</v>
      </c>
      <c r="D937">
        <v>0</v>
      </c>
      <c r="E937">
        <v>0</v>
      </c>
      <c r="F937">
        <v>0</v>
      </c>
      <c r="G937">
        <v>0</v>
      </c>
      <c r="H937">
        <v>0</v>
      </c>
      <c r="I937">
        <v>0</v>
      </c>
      <c r="J937">
        <v>0</v>
      </c>
      <c r="K937">
        <v>0</v>
      </c>
      <c r="L937">
        <v>1</v>
      </c>
      <c r="M937">
        <v>1</v>
      </c>
      <c r="N937">
        <v>1</v>
      </c>
      <c r="O937">
        <v>1</v>
      </c>
      <c r="P937">
        <v>1</v>
      </c>
      <c r="Q937">
        <v>1</v>
      </c>
      <c r="R937">
        <v>1</v>
      </c>
      <c r="S937">
        <v>1</v>
      </c>
    </row>
    <row r="938" spans="1:19" x14ac:dyDescent="0.25">
      <c r="A938" s="1">
        <v>0.62819635416666664</v>
      </c>
      <c r="B938" t="s">
        <v>1</v>
      </c>
      <c r="C938">
        <v>937</v>
      </c>
      <c r="D938">
        <v>0</v>
      </c>
      <c r="E938">
        <v>0</v>
      </c>
      <c r="F938">
        <v>0</v>
      </c>
      <c r="G938">
        <v>0</v>
      </c>
      <c r="H938">
        <v>0</v>
      </c>
      <c r="I938">
        <v>0</v>
      </c>
      <c r="J938">
        <v>0</v>
      </c>
      <c r="K938">
        <v>0</v>
      </c>
      <c r="L938">
        <v>1</v>
      </c>
      <c r="M938">
        <v>1</v>
      </c>
      <c r="N938">
        <v>1</v>
      </c>
      <c r="O938">
        <v>1</v>
      </c>
      <c r="P938">
        <v>1</v>
      </c>
      <c r="Q938">
        <v>1</v>
      </c>
      <c r="R938">
        <v>1</v>
      </c>
      <c r="S938">
        <v>1</v>
      </c>
    </row>
    <row r="939" spans="1:19" x14ac:dyDescent="0.25">
      <c r="A939" s="1">
        <v>0.62819646990740741</v>
      </c>
      <c r="B939" t="s">
        <v>1</v>
      </c>
      <c r="C939">
        <v>938</v>
      </c>
      <c r="D939">
        <v>0</v>
      </c>
      <c r="E939">
        <v>0</v>
      </c>
      <c r="F939">
        <v>0</v>
      </c>
      <c r="G939">
        <v>0</v>
      </c>
      <c r="H939">
        <v>0</v>
      </c>
      <c r="I939">
        <v>0</v>
      </c>
      <c r="J939">
        <v>0</v>
      </c>
      <c r="K939">
        <v>0</v>
      </c>
      <c r="L939">
        <v>1</v>
      </c>
      <c r="M939">
        <v>1</v>
      </c>
      <c r="N939">
        <v>1</v>
      </c>
      <c r="O939">
        <v>1</v>
      </c>
      <c r="P939">
        <v>1</v>
      </c>
      <c r="Q939">
        <v>1</v>
      </c>
      <c r="R939">
        <v>1</v>
      </c>
      <c r="S939">
        <v>1</v>
      </c>
    </row>
    <row r="940" spans="1:19" x14ac:dyDescent="0.25">
      <c r="A940" s="1">
        <v>0.62819658564814818</v>
      </c>
      <c r="B940" t="s">
        <v>1</v>
      </c>
      <c r="C940">
        <v>939</v>
      </c>
      <c r="D940">
        <v>0</v>
      </c>
      <c r="E940">
        <v>0</v>
      </c>
      <c r="F940">
        <v>0</v>
      </c>
      <c r="G940">
        <v>0</v>
      </c>
      <c r="H940">
        <v>0</v>
      </c>
      <c r="I940">
        <v>0</v>
      </c>
      <c r="J940">
        <v>0</v>
      </c>
      <c r="K940">
        <v>0</v>
      </c>
      <c r="L940">
        <v>1</v>
      </c>
      <c r="M940">
        <v>1</v>
      </c>
      <c r="N940">
        <v>1</v>
      </c>
      <c r="O940">
        <v>1</v>
      </c>
      <c r="P940">
        <v>1</v>
      </c>
      <c r="Q940">
        <v>1</v>
      </c>
      <c r="R940">
        <v>1</v>
      </c>
      <c r="S940">
        <v>1</v>
      </c>
    </row>
    <row r="941" spans="1:19" x14ac:dyDescent="0.25">
      <c r="A941" s="1">
        <v>0.62819670138888883</v>
      </c>
      <c r="B941" t="s">
        <v>1</v>
      </c>
      <c r="C941">
        <v>940</v>
      </c>
      <c r="D941">
        <v>0</v>
      </c>
      <c r="E941">
        <v>0</v>
      </c>
      <c r="F941">
        <v>0</v>
      </c>
      <c r="G941">
        <v>0</v>
      </c>
      <c r="H941">
        <v>0</v>
      </c>
      <c r="I941">
        <v>0</v>
      </c>
      <c r="J941">
        <v>0</v>
      </c>
      <c r="K941">
        <v>0</v>
      </c>
      <c r="L941">
        <v>1</v>
      </c>
      <c r="M941">
        <v>1</v>
      </c>
      <c r="N941">
        <v>1</v>
      </c>
      <c r="O941">
        <v>1</v>
      </c>
      <c r="P941">
        <v>1</v>
      </c>
      <c r="Q941">
        <v>1</v>
      </c>
      <c r="R941">
        <v>1</v>
      </c>
      <c r="S941">
        <v>1</v>
      </c>
    </row>
    <row r="942" spans="1:19" x14ac:dyDescent="0.25">
      <c r="A942" s="1">
        <v>0.6281968171296296</v>
      </c>
      <c r="B942" t="s">
        <v>1</v>
      </c>
      <c r="C942">
        <v>941</v>
      </c>
      <c r="D942">
        <v>0</v>
      </c>
      <c r="E942">
        <v>0</v>
      </c>
      <c r="F942">
        <v>0</v>
      </c>
      <c r="G942">
        <v>0</v>
      </c>
      <c r="H942">
        <v>0</v>
      </c>
      <c r="I942">
        <v>0</v>
      </c>
      <c r="J942">
        <v>0</v>
      </c>
      <c r="K942">
        <v>0</v>
      </c>
      <c r="L942">
        <v>1</v>
      </c>
      <c r="M942">
        <v>1</v>
      </c>
      <c r="N942">
        <v>1</v>
      </c>
      <c r="O942">
        <v>1</v>
      </c>
      <c r="P942">
        <v>1</v>
      </c>
      <c r="Q942">
        <v>1</v>
      </c>
      <c r="R942">
        <v>1</v>
      </c>
      <c r="S942">
        <v>1</v>
      </c>
    </row>
    <row r="943" spans="1:19" x14ac:dyDescent="0.25">
      <c r="A943" s="1">
        <v>0.62819693287037037</v>
      </c>
      <c r="B943" t="s">
        <v>1</v>
      </c>
      <c r="C943">
        <v>942</v>
      </c>
      <c r="D943">
        <v>0</v>
      </c>
      <c r="E943">
        <v>0</v>
      </c>
      <c r="F943">
        <v>0</v>
      </c>
      <c r="G943">
        <v>0</v>
      </c>
      <c r="H943">
        <v>0</v>
      </c>
      <c r="I943">
        <v>0</v>
      </c>
      <c r="J943">
        <v>0</v>
      </c>
      <c r="K943">
        <v>0</v>
      </c>
      <c r="L943">
        <v>1</v>
      </c>
      <c r="M943">
        <v>1</v>
      </c>
      <c r="N943">
        <v>1</v>
      </c>
      <c r="O943">
        <v>1</v>
      </c>
      <c r="P943">
        <v>1</v>
      </c>
      <c r="Q943">
        <v>1</v>
      </c>
      <c r="R943">
        <v>1</v>
      </c>
      <c r="S943">
        <v>1</v>
      </c>
    </row>
    <row r="944" spans="1:19" x14ac:dyDescent="0.25">
      <c r="A944" s="1">
        <v>0.62819704861111114</v>
      </c>
      <c r="B944" t="s">
        <v>1</v>
      </c>
      <c r="C944">
        <v>943</v>
      </c>
      <c r="D944">
        <v>0</v>
      </c>
      <c r="E944">
        <v>0</v>
      </c>
      <c r="F944">
        <v>0</v>
      </c>
      <c r="G944">
        <v>0</v>
      </c>
      <c r="H944">
        <v>0</v>
      </c>
      <c r="I944">
        <v>0</v>
      </c>
      <c r="J944">
        <v>0</v>
      </c>
      <c r="K944">
        <v>0</v>
      </c>
      <c r="L944">
        <v>1</v>
      </c>
      <c r="M944">
        <v>1</v>
      </c>
      <c r="N944">
        <v>1</v>
      </c>
      <c r="O944">
        <v>1</v>
      </c>
      <c r="P944">
        <v>1</v>
      </c>
      <c r="Q944">
        <v>1</v>
      </c>
      <c r="R944">
        <v>1</v>
      </c>
      <c r="S944">
        <v>1</v>
      </c>
    </row>
    <row r="945" spans="1:19" x14ac:dyDescent="0.25">
      <c r="A945" s="1">
        <v>0.6281971643518518</v>
      </c>
      <c r="B945" t="s">
        <v>1</v>
      </c>
      <c r="C945">
        <v>944</v>
      </c>
      <c r="D945">
        <v>0</v>
      </c>
      <c r="E945">
        <v>0</v>
      </c>
      <c r="F945">
        <v>0</v>
      </c>
      <c r="G945">
        <v>0</v>
      </c>
      <c r="H945">
        <v>0</v>
      </c>
      <c r="I945">
        <v>0</v>
      </c>
      <c r="J945">
        <v>0</v>
      </c>
      <c r="K945">
        <v>0</v>
      </c>
      <c r="L945">
        <v>1</v>
      </c>
      <c r="M945">
        <v>1</v>
      </c>
      <c r="N945">
        <v>1</v>
      </c>
      <c r="O945">
        <v>1</v>
      </c>
      <c r="P945">
        <v>1</v>
      </c>
      <c r="Q945">
        <v>1</v>
      </c>
      <c r="R945">
        <v>1</v>
      </c>
      <c r="S945">
        <v>1</v>
      </c>
    </row>
    <row r="946" spans="1:19" x14ac:dyDescent="0.25">
      <c r="A946" s="1">
        <v>0.62819728009259257</v>
      </c>
      <c r="B946" t="s">
        <v>1</v>
      </c>
      <c r="C946">
        <v>945</v>
      </c>
      <c r="D946">
        <v>0</v>
      </c>
      <c r="E946">
        <v>0</v>
      </c>
      <c r="F946">
        <v>0</v>
      </c>
      <c r="G946">
        <v>0</v>
      </c>
      <c r="H946">
        <v>0</v>
      </c>
      <c r="I946">
        <v>0</v>
      </c>
      <c r="J946">
        <v>0</v>
      </c>
      <c r="K946">
        <v>0</v>
      </c>
      <c r="L946">
        <v>1</v>
      </c>
      <c r="M946">
        <v>1</v>
      </c>
      <c r="N946">
        <v>1</v>
      </c>
      <c r="O946">
        <v>1</v>
      </c>
      <c r="P946">
        <v>1</v>
      </c>
      <c r="Q946">
        <v>1</v>
      </c>
      <c r="R946">
        <v>1</v>
      </c>
      <c r="S946">
        <v>1</v>
      </c>
    </row>
    <row r="947" spans="1:19" x14ac:dyDescent="0.25">
      <c r="A947" s="1">
        <v>0.62819739583333334</v>
      </c>
      <c r="B947" t="s">
        <v>1</v>
      </c>
      <c r="C947">
        <v>946</v>
      </c>
      <c r="D947">
        <v>0</v>
      </c>
      <c r="E947">
        <v>0</v>
      </c>
      <c r="F947">
        <v>0</v>
      </c>
      <c r="G947">
        <v>0</v>
      </c>
      <c r="H947">
        <v>0</v>
      </c>
      <c r="I947">
        <v>0</v>
      </c>
      <c r="J947">
        <v>0</v>
      </c>
      <c r="K947">
        <v>0</v>
      </c>
      <c r="L947">
        <v>1</v>
      </c>
      <c r="M947">
        <v>1</v>
      </c>
      <c r="N947">
        <v>1</v>
      </c>
      <c r="O947">
        <v>1</v>
      </c>
      <c r="P947">
        <v>1</v>
      </c>
      <c r="Q947">
        <v>1</v>
      </c>
      <c r="R947">
        <v>1</v>
      </c>
      <c r="S947">
        <v>1</v>
      </c>
    </row>
    <row r="948" spans="1:19" x14ac:dyDescent="0.25">
      <c r="A948" s="1">
        <v>0.62819751157407411</v>
      </c>
      <c r="B948" t="s">
        <v>1</v>
      </c>
      <c r="C948">
        <v>947</v>
      </c>
      <c r="D948">
        <v>0</v>
      </c>
      <c r="E948">
        <v>0</v>
      </c>
      <c r="F948">
        <v>0</v>
      </c>
      <c r="G948">
        <v>0</v>
      </c>
      <c r="H948">
        <v>0</v>
      </c>
      <c r="I948">
        <v>0</v>
      </c>
      <c r="J948">
        <v>0</v>
      </c>
      <c r="K948">
        <v>0</v>
      </c>
      <c r="L948">
        <v>1</v>
      </c>
      <c r="M948">
        <v>1</v>
      </c>
      <c r="N948">
        <v>1</v>
      </c>
      <c r="O948">
        <v>1</v>
      </c>
      <c r="P948">
        <v>1</v>
      </c>
      <c r="Q948">
        <v>1</v>
      </c>
      <c r="R948">
        <v>1</v>
      </c>
      <c r="S948">
        <v>1</v>
      </c>
    </row>
    <row r="949" spans="1:19" x14ac:dyDescent="0.25">
      <c r="A949" s="1">
        <v>0.62819762731481477</v>
      </c>
      <c r="B949" t="s">
        <v>1</v>
      </c>
      <c r="C949">
        <v>948</v>
      </c>
      <c r="D949">
        <v>0</v>
      </c>
      <c r="E949">
        <v>0</v>
      </c>
      <c r="F949">
        <v>0</v>
      </c>
      <c r="G949">
        <v>0</v>
      </c>
      <c r="H949">
        <v>0</v>
      </c>
      <c r="I949">
        <v>0</v>
      </c>
      <c r="J949">
        <v>0</v>
      </c>
      <c r="K949">
        <v>0</v>
      </c>
      <c r="L949">
        <v>1</v>
      </c>
      <c r="M949">
        <v>1</v>
      </c>
      <c r="N949">
        <v>1</v>
      </c>
      <c r="O949">
        <v>1</v>
      </c>
      <c r="P949">
        <v>1</v>
      </c>
      <c r="Q949">
        <v>1</v>
      </c>
      <c r="R949">
        <v>1</v>
      </c>
      <c r="S949">
        <v>1</v>
      </c>
    </row>
    <row r="950" spans="1:19" x14ac:dyDescent="0.25">
      <c r="A950" s="1">
        <v>0.62819774305555554</v>
      </c>
      <c r="B950" t="s">
        <v>1</v>
      </c>
      <c r="C950">
        <v>949</v>
      </c>
      <c r="D950">
        <v>0</v>
      </c>
      <c r="E950">
        <v>0</v>
      </c>
      <c r="F950">
        <v>0</v>
      </c>
      <c r="G950">
        <v>0</v>
      </c>
      <c r="H950">
        <v>0</v>
      </c>
      <c r="I950">
        <v>0</v>
      </c>
      <c r="J950">
        <v>0</v>
      </c>
      <c r="K950">
        <v>0</v>
      </c>
      <c r="L950">
        <v>1</v>
      </c>
      <c r="M950">
        <v>1</v>
      </c>
      <c r="N950">
        <v>1</v>
      </c>
      <c r="O950">
        <v>1</v>
      </c>
      <c r="P950">
        <v>1</v>
      </c>
      <c r="Q950">
        <v>1</v>
      </c>
      <c r="R950">
        <v>1</v>
      </c>
      <c r="S950">
        <v>1</v>
      </c>
    </row>
    <row r="951" spans="1:19" x14ac:dyDescent="0.25">
      <c r="A951" s="1">
        <v>0.6281978587962963</v>
      </c>
      <c r="B951" t="s">
        <v>1</v>
      </c>
      <c r="C951">
        <v>950</v>
      </c>
      <c r="D951">
        <v>0</v>
      </c>
      <c r="E951">
        <v>0</v>
      </c>
      <c r="F951">
        <v>0</v>
      </c>
      <c r="G951">
        <v>0</v>
      </c>
      <c r="H951">
        <v>0</v>
      </c>
      <c r="I951">
        <v>0</v>
      </c>
      <c r="J951">
        <v>0</v>
      </c>
      <c r="K951">
        <v>0</v>
      </c>
      <c r="L951">
        <v>1</v>
      </c>
      <c r="M951">
        <v>1</v>
      </c>
      <c r="N951">
        <v>1</v>
      </c>
      <c r="O951">
        <v>1</v>
      </c>
      <c r="P951">
        <v>1</v>
      </c>
      <c r="Q951">
        <v>1</v>
      </c>
      <c r="R951">
        <v>1</v>
      </c>
      <c r="S951">
        <v>1</v>
      </c>
    </row>
    <row r="952" spans="1:19" x14ac:dyDescent="0.25">
      <c r="A952" s="1">
        <v>0.62819797453703707</v>
      </c>
      <c r="B952" t="s">
        <v>1</v>
      </c>
      <c r="C952">
        <v>951</v>
      </c>
      <c r="D952">
        <v>0</v>
      </c>
      <c r="E952">
        <v>0</v>
      </c>
      <c r="F952">
        <v>0</v>
      </c>
      <c r="G952">
        <v>0</v>
      </c>
      <c r="H952">
        <v>0</v>
      </c>
      <c r="I952">
        <v>0</v>
      </c>
      <c r="J952">
        <v>0</v>
      </c>
      <c r="K952">
        <v>0</v>
      </c>
      <c r="L952">
        <v>1</v>
      </c>
      <c r="M952">
        <v>1</v>
      </c>
      <c r="N952">
        <v>1</v>
      </c>
      <c r="O952">
        <v>1</v>
      </c>
      <c r="P952">
        <v>1</v>
      </c>
      <c r="Q952">
        <v>1</v>
      </c>
      <c r="R952">
        <v>1</v>
      </c>
      <c r="S952">
        <v>1</v>
      </c>
    </row>
    <row r="953" spans="1:19" x14ac:dyDescent="0.25">
      <c r="A953" s="1">
        <v>0.62819809027777773</v>
      </c>
      <c r="B953" t="s">
        <v>1</v>
      </c>
      <c r="C953">
        <v>952</v>
      </c>
      <c r="D953">
        <v>0</v>
      </c>
      <c r="E953">
        <v>0</v>
      </c>
      <c r="F953">
        <v>0</v>
      </c>
      <c r="G953">
        <v>0</v>
      </c>
      <c r="H953">
        <v>0</v>
      </c>
      <c r="I953">
        <v>0</v>
      </c>
      <c r="J953">
        <v>0</v>
      </c>
      <c r="K953">
        <v>0</v>
      </c>
      <c r="L953">
        <v>1</v>
      </c>
      <c r="M953">
        <v>1</v>
      </c>
      <c r="N953">
        <v>1</v>
      </c>
      <c r="O953">
        <v>1</v>
      </c>
      <c r="P953">
        <v>1</v>
      </c>
      <c r="Q953">
        <v>1</v>
      </c>
      <c r="R953">
        <v>1</v>
      </c>
      <c r="S953">
        <v>1</v>
      </c>
    </row>
    <row r="954" spans="1:19" x14ac:dyDescent="0.25">
      <c r="A954" s="1">
        <v>0.6281982060185185</v>
      </c>
      <c r="B954" t="s">
        <v>1</v>
      </c>
      <c r="C954">
        <v>953</v>
      </c>
      <c r="D954">
        <v>0</v>
      </c>
      <c r="E954">
        <v>0</v>
      </c>
      <c r="F954">
        <v>0</v>
      </c>
      <c r="G954">
        <v>0</v>
      </c>
      <c r="H954">
        <v>0</v>
      </c>
      <c r="I954">
        <v>0</v>
      </c>
      <c r="J954">
        <v>0</v>
      </c>
      <c r="K954">
        <v>0</v>
      </c>
      <c r="L954">
        <v>1</v>
      </c>
      <c r="M954">
        <v>1</v>
      </c>
      <c r="N954">
        <v>1</v>
      </c>
      <c r="O954">
        <v>1</v>
      </c>
      <c r="P954">
        <v>1</v>
      </c>
      <c r="Q954">
        <v>1</v>
      </c>
      <c r="R954">
        <v>1</v>
      </c>
      <c r="S954">
        <v>1</v>
      </c>
    </row>
    <row r="955" spans="1:19" x14ac:dyDescent="0.25">
      <c r="A955" s="1">
        <v>0.62819832175925927</v>
      </c>
      <c r="B955" t="s">
        <v>1</v>
      </c>
      <c r="C955">
        <v>954</v>
      </c>
      <c r="D955">
        <v>0</v>
      </c>
      <c r="E955">
        <v>0</v>
      </c>
      <c r="F955">
        <v>0</v>
      </c>
      <c r="G955">
        <v>0</v>
      </c>
      <c r="H955">
        <v>0</v>
      </c>
      <c r="I955">
        <v>0</v>
      </c>
      <c r="J955">
        <v>0</v>
      </c>
      <c r="K955">
        <v>0</v>
      </c>
      <c r="L955">
        <v>1</v>
      </c>
      <c r="M955">
        <v>1</v>
      </c>
      <c r="N955">
        <v>1</v>
      </c>
      <c r="O955">
        <v>1</v>
      </c>
      <c r="P955">
        <v>1</v>
      </c>
      <c r="Q955">
        <v>1</v>
      </c>
      <c r="R955">
        <v>1</v>
      </c>
      <c r="S955">
        <v>1</v>
      </c>
    </row>
    <row r="956" spans="1:19" x14ac:dyDescent="0.25">
      <c r="A956" s="1">
        <v>0.62819843750000004</v>
      </c>
      <c r="B956" t="s">
        <v>1</v>
      </c>
      <c r="C956">
        <v>955</v>
      </c>
      <c r="D956">
        <v>0</v>
      </c>
      <c r="E956">
        <v>0</v>
      </c>
      <c r="F956">
        <v>0</v>
      </c>
      <c r="G956">
        <v>0</v>
      </c>
      <c r="H956">
        <v>0</v>
      </c>
      <c r="I956">
        <v>0</v>
      </c>
      <c r="J956">
        <v>0</v>
      </c>
      <c r="K956">
        <v>0</v>
      </c>
      <c r="L956">
        <v>1</v>
      </c>
      <c r="M956">
        <v>1</v>
      </c>
      <c r="N956">
        <v>1</v>
      </c>
      <c r="O956">
        <v>1</v>
      </c>
      <c r="P956">
        <v>1</v>
      </c>
      <c r="Q956">
        <v>1</v>
      </c>
      <c r="R956">
        <v>1</v>
      </c>
      <c r="S956">
        <v>1</v>
      </c>
    </row>
    <row r="957" spans="1:19" x14ac:dyDescent="0.25">
      <c r="A957" s="1">
        <v>0.6281985532407407</v>
      </c>
      <c r="B957" t="s">
        <v>1</v>
      </c>
      <c r="C957">
        <v>956</v>
      </c>
      <c r="D957">
        <v>0</v>
      </c>
      <c r="E957">
        <v>0</v>
      </c>
      <c r="F957">
        <v>0</v>
      </c>
      <c r="G957">
        <v>0</v>
      </c>
      <c r="H957">
        <v>0</v>
      </c>
      <c r="I957">
        <v>0</v>
      </c>
      <c r="J957">
        <v>0</v>
      </c>
      <c r="K957">
        <v>0</v>
      </c>
      <c r="L957">
        <v>1</v>
      </c>
      <c r="M957">
        <v>1</v>
      </c>
      <c r="N957">
        <v>1</v>
      </c>
      <c r="O957">
        <v>1</v>
      </c>
      <c r="P957">
        <v>1</v>
      </c>
      <c r="Q957">
        <v>1</v>
      </c>
      <c r="R957">
        <v>1</v>
      </c>
      <c r="S957">
        <v>1</v>
      </c>
    </row>
    <row r="958" spans="1:19" x14ac:dyDescent="0.25">
      <c r="A958" s="1">
        <v>0.62819866898148147</v>
      </c>
      <c r="B958" t="s">
        <v>1</v>
      </c>
      <c r="C958">
        <v>957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1</v>
      </c>
      <c r="M958">
        <v>1</v>
      </c>
      <c r="N958">
        <v>1</v>
      </c>
      <c r="O958">
        <v>1</v>
      </c>
      <c r="P958">
        <v>1</v>
      </c>
      <c r="Q958">
        <v>1</v>
      </c>
      <c r="R958">
        <v>1</v>
      </c>
      <c r="S958">
        <v>1</v>
      </c>
    </row>
    <row r="959" spans="1:19" x14ac:dyDescent="0.25">
      <c r="A959" s="1">
        <v>0.62819878472222224</v>
      </c>
      <c r="B959" t="s">
        <v>1</v>
      </c>
      <c r="C959">
        <v>958</v>
      </c>
      <c r="D959">
        <v>0</v>
      </c>
      <c r="E959">
        <v>0</v>
      </c>
      <c r="F959">
        <v>0</v>
      </c>
      <c r="G959">
        <v>0</v>
      </c>
      <c r="H959">
        <v>0</v>
      </c>
      <c r="I959">
        <v>0</v>
      </c>
      <c r="J959">
        <v>0</v>
      </c>
      <c r="K959">
        <v>0</v>
      </c>
      <c r="L959">
        <v>1</v>
      </c>
      <c r="M959">
        <v>1</v>
      </c>
      <c r="N959">
        <v>1</v>
      </c>
      <c r="O959">
        <v>1</v>
      </c>
      <c r="P959">
        <v>1</v>
      </c>
      <c r="Q959">
        <v>1</v>
      </c>
      <c r="R959">
        <v>1</v>
      </c>
      <c r="S959">
        <v>1</v>
      </c>
    </row>
    <row r="960" spans="1:19" x14ac:dyDescent="0.25">
      <c r="A960" s="1">
        <v>0.62819890046296301</v>
      </c>
      <c r="B960" t="s">
        <v>1</v>
      </c>
      <c r="C960">
        <v>959</v>
      </c>
      <c r="D960">
        <v>0</v>
      </c>
      <c r="E960">
        <v>0</v>
      </c>
      <c r="F960">
        <v>0</v>
      </c>
      <c r="G960">
        <v>0</v>
      </c>
      <c r="H960">
        <v>0</v>
      </c>
      <c r="I960">
        <v>0</v>
      </c>
      <c r="J960">
        <v>0</v>
      </c>
      <c r="K960">
        <v>0</v>
      </c>
      <c r="L960">
        <v>1</v>
      </c>
      <c r="M960">
        <v>1</v>
      </c>
      <c r="N960">
        <v>1</v>
      </c>
      <c r="O960">
        <v>1</v>
      </c>
      <c r="P960">
        <v>1</v>
      </c>
      <c r="Q960">
        <v>1</v>
      </c>
      <c r="R960">
        <v>1</v>
      </c>
      <c r="S960">
        <v>1</v>
      </c>
    </row>
    <row r="961" spans="1:19" x14ac:dyDescent="0.25">
      <c r="A961" s="1">
        <v>0.62819901620370366</v>
      </c>
      <c r="B961" t="s">
        <v>1</v>
      </c>
      <c r="C961">
        <v>960</v>
      </c>
      <c r="D961">
        <v>0</v>
      </c>
      <c r="E961">
        <v>0</v>
      </c>
      <c r="F961">
        <v>0</v>
      </c>
      <c r="G961">
        <v>0</v>
      </c>
      <c r="H961">
        <v>0</v>
      </c>
      <c r="I961">
        <v>0</v>
      </c>
      <c r="J961">
        <v>0</v>
      </c>
      <c r="K961">
        <v>0</v>
      </c>
      <c r="L961">
        <v>1</v>
      </c>
      <c r="M961">
        <v>1</v>
      </c>
      <c r="N961">
        <v>1</v>
      </c>
      <c r="O961">
        <v>1</v>
      </c>
      <c r="P961">
        <v>1</v>
      </c>
      <c r="Q961">
        <v>1</v>
      </c>
      <c r="R961">
        <v>1</v>
      </c>
      <c r="S961">
        <v>1</v>
      </c>
    </row>
    <row r="962" spans="1:19" x14ac:dyDescent="0.25">
      <c r="A962" s="1">
        <v>0.62819913194444443</v>
      </c>
      <c r="B962" t="s">
        <v>1</v>
      </c>
      <c r="C962">
        <v>961</v>
      </c>
      <c r="D962">
        <v>0</v>
      </c>
      <c r="E962">
        <v>0</v>
      </c>
      <c r="F962">
        <v>0</v>
      </c>
      <c r="G962">
        <v>0</v>
      </c>
      <c r="H962">
        <v>0</v>
      </c>
      <c r="I962">
        <v>0</v>
      </c>
      <c r="J962">
        <v>0</v>
      </c>
      <c r="K962">
        <v>0</v>
      </c>
      <c r="L962">
        <v>1</v>
      </c>
      <c r="M962">
        <v>1</v>
      </c>
      <c r="N962">
        <v>1</v>
      </c>
      <c r="O962">
        <v>1</v>
      </c>
      <c r="P962">
        <v>1</v>
      </c>
      <c r="Q962">
        <v>1</v>
      </c>
      <c r="R962">
        <v>1</v>
      </c>
      <c r="S962">
        <v>1</v>
      </c>
    </row>
    <row r="963" spans="1:19" x14ac:dyDescent="0.25">
      <c r="A963" s="1">
        <v>0.6281992476851852</v>
      </c>
      <c r="B963" t="s">
        <v>1</v>
      </c>
      <c r="C963">
        <v>962</v>
      </c>
      <c r="D963">
        <v>0</v>
      </c>
      <c r="E963">
        <v>0</v>
      </c>
      <c r="F963">
        <v>0</v>
      </c>
      <c r="G963">
        <v>0</v>
      </c>
      <c r="H963">
        <v>0</v>
      </c>
      <c r="I963">
        <v>0</v>
      </c>
      <c r="J963">
        <v>0</v>
      </c>
      <c r="K963">
        <v>0</v>
      </c>
      <c r="L963">
        <v>1</v>
      </c>
      <c r="M963">
        <v>1</v>
      </c>
      <c r="N963">
        <v>1</v>
      </c>
      <c r="O963">
        <v>1</v>
      </c>
      <c r="P963">
        <v>1</v>
      </c>
      <c r="Q963">
        <v>1</v>
      </c>
      <c r="R963">
        <v>1</v>
      </c>
      <c r="S963">
        <v>1</v>
      </c>
    </row>
    <row r="964" spans="1:19" x14ac:dyDescent="0.25">
      <c r="A964" s="1">
        <v>0.62819936342592597</v>
      </c>
      <c r="B964" t="s">
        <v>1</v>
      </c>
      <c r="C964">
        <v>963</v>
      </c>
      <c r="D964">
        <v>0</v>
      </c>
      <c r="E964">
        <v>0</v>
      </c>
      <c r="F964">
        <v>0</v>
      </c>
      <c r="G964">
        <v>0</v>
      </c>
      <c r="H964">
        <v>0</v>
      </c>
      <c r="I964">
        <v>0</v>
      </c>
      <c r="J964">
        <v>0</v>
      </c>
      <c r="K964">
        <v>0</v>
      </c>
      <c r="L964">
        <v>1</v>
      </c>
      <c r="M964">
        <v>1</v>
      </c>
      <c r="N964">
        <v>1</v>
      </c>
      <c r="O964">
        <v>1</v>
      </c>
      <c r="P964">
        <v>1</v>
      </c>
      <c r="Q964">
        <v>1</v>
      </c>
      <c r="R964">
        <v>1</v>
      </c>
      <c r="S964">
        <v>1</v>
      </c>
    </row>
    <row r="965" spans="1:19" x14ac:dyDescent="0.25">
      <c r="A965" s="1">
        <v>0.62819947916666663</v>
      </c>
      <c r="B965" t="s">
        <v>1</v>
      </c>
      <c r="C965">
        <v>964</v>
      </c>
      <c r="D965">
        <v>0</v>
      </c>
      <c r="E965">
        <v>0</v>
      </c>
      <c r="F965">
        <v>0</v>
      </c>
      <c r="G965">
        <v>0</v>
      </c>
      <c r="H965">
        <v>0</v>
      </c>
      <c r="I965">
        <v>0</v>
      </c>
      <c r="J965">
        <v>0</v>
      </c>
      <c r="K965">
        <v>0</v>
      </c>
      <c r="L965">
        <v>1</v>
      </c>
      <c r="M965">
        <v>1</v>
      </c>
      <c r="N965">
        <v>1</v>
      </c>
      <c r="O965">
        <v>1</v>
      </c>
      <c r="P965">
        <v>1</v>
      </c>
      <c r="Q965">
        <v>1</v>
      </c>
      <c r="R965">
        <v>1</v>
      </c>
      <c r="S965">
        <v>1</v>
      </c>
    </row>
    <row r="966" spans="1:19" x14ac:dyDescent="0.25">
      <c r="A966" s="1">
        <v>0.6281995949074074</v>
      </c>
      <c r="B966" t="s">
        <v>1</v>
      </c>
      <c r="C966">
        <v>965</v>
      </c>
      <c r="D966">
        <v>0</v>
      </c>
      <c r="E966">
        <v>0</v>
      </c>
      <c r="F966">
        <v>0</v>
      </c>
      <c r="G966">
        <v>0</v>
      </c>
      <c r="H966">
        <v>0</v>
      </c>
      <c r="I966">
        <v>0</v>
      </c>
      <c r="J966">
        <v>0</v>
      </c>
      <c r="K966">
        <v>0</v>
      </c>
      <c r="L966">
        <v>1</v>
      </c>
      <c r="M966">
        <v>1</v>
      </c>
      <c r="N966">
        <v>1</v>
      </c>
      <c r="O966">
        <v>1</v>
      </c>
      <c r="P966">
        <v>1</v>
      </c>
      <c r="Q966">
        <v>1</v>
      </c>
      <c r="R966">
        <v>1</v>
      </c>
      <c r="S966">
        <v>1</v>
      </c>
    </row>
    <row r="967" spans="1:19" x14ac:dyDescent="0.25">
      <c r="A967" s="1">
        <v>0.62819971064814817</v>
      </c>
      <c r="B967" t="s">
        <v>1</v>
      </c>
      <c r="C967">
        <v>966</v>
      </c>
      <c r="D967">
        <v>0</v>
      </c>
      <c r="E967">
        <v>0</v>
      </c>
      <c r="F967">
        <v>0</v>
      </c>
      <c r="G967">
        <v>0</v>
      </c>
      <c r="H967">
        <v>0</v>
      </c>
      <c r="I967">
        <v>0</v>
      </c>
      <c r="J967">
        <v>0</v>
      </c>
      <c r="K967">
        <v>0</v>
      </c>
      <c r="L967">
        <v>1</v>
      </c>
      <c r="M967">
        <v>1</v>
      </c>
      <c r="N967">
        <v>1</v>
      </c>
      <c r="O967">
        <v>1</v>
      </c>
      <c r="P967">
        <v>1</v>
      </c>
      <c r="Q967">
        <v>1</v>
      </c>
      <c r="R967">
        <v>1</v>
      </c>
      <c r="S967">
        <v>1</v>
      </c>
    </row>
    <row r="968" spans="1:19" x14ac:dyDescent="0.25">
      <c r="A968" s="1">
        <v>0.62819982638888894</v>
      </c>
      <c r="B968" t="s">
        <v>1</v>
      </c>
      <c r="C968">
        <v>967</v>
      </c>
      <c r="D968">
        <v>0</v>
      </c>
      <c r="E968">
        <v>0</v>
      </c>
      <c r="F968">
        <v>0</v>
      </c>
      <c r="G968">
        <v>0</v>
      </c>
      <c r="H968">
        <v>0</v>
      </c>
      <c r="I968">
        <v>0</v>
      </c>
      <c r="J968">
        <v>0</v>
      </c>
      <c r="K968">
        <v>0</v>
      </c>
      <c r="L968">
        <v>1</v>
      </c>
      <c r="M968">
        <v>1</v>
      </c>
      <c r="N968">
        <v>1</v>
      </c>
      <c r="O968">
        <v>1</v>
      </c>
      <c r="P968">
        <v>1</v>
      </c>
      <c r="Q968">
        <v>1</v>
      </c>
      <c r="R968">
        <v>1</v>
      </c>
      <c r="S968">
        <v>1</v>
      </c>
    </row>
    <row r="969" spans="1:19" x14ac:dyDescent="0.25">
      <c r="A969" s="1">
        <v>0.6281999421296296</v>
      </c>
      <c r="B969" t="s">
        <v>1</v>
      </c>
      <c r="C969">
        <v>968</v>
      </c>
      <c r="D969">
        <v>0</v>
      </c>
      <c r="E969">
        <v>0</v>
      </c>
      <c r="F969">
        <v>0</v>
      </c>
      <c r="G969">
        <v>0</v>
      </c>
      <c r="H969">
        <v>0</v>
      </c>
      <c r="I969">
        <v>0</v>
      </c>
      <c r="J969">
        <v>0</v>
      </c>
      <c r="K969">
        <v>0</v>
      </c>
      <c r="L969">
        <v>1</v>
      </c>
      <c r="M969">
        <v>1</v>
      </c>
      <c r="N969">
        <v>1</v>
      </c>
      <c r="O969">
        <v>1</v>
      </c>
      <c r="P969">
        <v>1</v>
      </c>
      <c r="Q969">
        <v>1</v>
      </c>
      <c r="R969">
        <v>1</v>
      </c>
      <c r="S969">
        <v>1</v>
      </c>
    </row>
    <row r="970" spans="1:19" x14ac:dyDescent="0.25">
      <c r="A970" s="1">
        <v>0.62820005787037037</v>
      </c>
      <c r="B970" t="s">
        <v>2</v>
      </c>
      <c r="C970">
        <v>969</v>
      </c>
      <c r="D970">
        <v>0</v>
      </c>
      <c r="E970">
        <v>1</v>
      </c>
      <c r="F970">
        <v>0</v>
      </c>
      <c r="G970">
        <v>0</v>
      </c>
      <c r="H970">
        <v>0</v>
      </c>
      <c r="I970">
        <v>0</v>
      </c>
      <c r="J970">
        <v>0</v>
      </c>
      <c r="K970">
        <v>0</v>
      </c>
      <c r="L970">
        <v>1</v>
      </c>
      <c r="M970">
        <v>1</v>
      </c>
      <c r="N970">
        <v>1</v>
      </c>
      <c r="O970">
        <v>1</v>
      </c>
      <c r="P970">
        <v>1</v>
      </c>
      <c r="Q970">
        <v>1</v>
      </c>
      <c r="R970">
        <v>1</v>
      </c>
      <c r="S970">
        <v>1</v>
      </c>
    </row>
    <row r="971" spans="1:19" x14ac:dyDescent="0.25">
      <c r="A971" s="1">
        <v>0.62820017361111113</v>
      </c>
      <c r="B971" t="s">
        <v>2</v>
      </c>
      <c r="C971">
        <v>970</v>
      </c>
      <c r="D971">
        <v>0</v>
      </c>
      <c r="E971">
        <v>1</v>
      </c>
      <c r="F971">
        <v>0</v>
      </c>
      <c r="G971">
        <v>0</v>
      </c>
      <c r="H971">
        <v>0</v>
      </c>
      <c r="I971">
        <v>0</v>
      </c>
      <c r="J971">
        <v>0</v>
      </c>
      <c r="K971">
        <v>0</v>
      </c>
      <c r="L971">
        <v>1</v>
      </c>
      <c r="M971">
        <v>1</v>
      </c>
      <c r="N971">
        <v>1</v>
      </c>
      <c r="O971">
        <v>1</v>
      </c>
      <c r="P971">
        <v>1</v>
      </c>
      <c r="Q971">
        <v>1</v>
      </c>
      <c r="R971">
        <v>1</v>
      </c>
      <c r="S971">
        <v>1</v>
      </c>
    </row>
    <row r="972" spans="1:19" x14ac:dyDescent="0.25">
      <c r="A972" s="1">
        <v>0.6282002893518519</v>
      </c>
      <c r="B972" t="s">
        <v>2</v>
      </c>
      <c r="C972">
        <v>971</v>
      </c>
      <c r="D972">
        <v>0</v>
      </c>
      <c r="E972">
        <v>1</v>
      </c>
      <c r="F972">
        <v>0</v>
      </c>
      <c r="G972">
        <v>0</v>
      </c>
      <c r="H972">
        <v>0</v>
      </c>
      <c r="I972">
        <v>0</v>
      </c>
      <c r="J972">
        <v>0</v>
      </c>
      <c r="K972">
        <v>0</v>
      </c>
      <c r="L972">
        <v>1</v>
      </c>
      <c r="M972">
        <v>1</v>
      </c>
      <c r="N972">
        <v>1</v>
      </c>
      <c r="O972">
        <v>1</v>
      </c>
      <c r="P972">
        <v>1</v>
      </c>
      <c r="Q972">
        <v>1</v>
      </c>
      <c r="R972">
        <v>1</v>
      </c>
      <c r="S972">
        <v>1</v>
      </c>
    </row>
    <row r="973" spans="1:19" x14ac:dyDescent="0.25">
      <c r="A973" s="1">
        <v>0.62820039351851853</v>
      </c>
      <c r="B973" t="s">
        <v>2</v>
      </c>
      <c r="C973">
        <v>972</v>
      </c>
      <c r="D973">
        <v>0</v>
      </c>
      <c r="E973">
        <v>1</v>
      </c>
      <c r="F973">
        <v>0</v>
      </c>
      <c r="G973">
        <v>0</v>
      </c>
      <c r="H973">
        <v>0</v>
      </c>
      <c r="I973">
        <v>0</v>
      </c>
      <c r="J973">
        <v>0</v>
      </c>
      <c r="K973">
        <v>0</v>
      </c>
      <c r="L973">
        <v>1</v>
      </c>
      <c r="M973">
        <v>1</v>
      </c>
      <c r="N973">
        <v>1</v>
      </c>
      <c r="O973">
        <v>1</v>
      </c>
      <c r="P973">
        <v>1</v>
      </c>
      <c r="Q973">
        <v>1</v>
      </c>
      <c r="R973">
        <v>1</v>
      </c>
      <c r="S973">
        <v>1</v>
      </c>
    </row>
    <row r="974" spans="1:19" x14ac:dyDescent="0.25">
      <c r="A974" s="1">
        <v>0.62820052083333333</v>
      </c>
      <c r="B974" t="s">
        <v>2</v>
      </c>
      <c r="C974">
        <v>973</v>
      </c>
      <c r="D974">
        <v>0</v>
      </c>
      <c r="E974">
        <v>1</v>
      </c>
      <c r="F974">
        <v>0</v>
      </c>
      <c r="G974">
        <v>0</v>
      </c>
      <c r="H974">
        <v>0</v>
      </c>
      <c r="I974">
        <v>0</v>
      </c>
      <c r="J974">
        <v>0</v>
      </c>
      <c r="K974">
        <v>0</v>
      </c>
      <c r="L974">
        <v>1</v>
      </c>
      <c r="M974">
        <v>1</v>
      </c>
      <c r="N974">
        <v>1</v>
      </c>
      <c r="O974">
        <v>1</v>
      </c>
      <c r="P974">
        <v>1</v>
      </c>
      <c r="Q974">
        <v>1</v>
      </c>
      <c r="R974">
        <v>1</v>
      </c>
      <c r="S974">
        <v>1</v>
      </c>
    </row>
    <row r="975" spans="1:19" x14ac:dyDescent="0.25">
      <c r="A975" s="1">
        <v>0.6282006365740741</v>
      </c>
      <c r="B975" t="s">
        <v>2</v>
      </c>
      <c r="C975">
        <v>974</v>
      </c>
      <c r="D975">
        <v>0</v>
      </c>
      <c r="E975">
        <v>1</v>
      </c>
      <c r="F975">
        <v>0</v>
      </c>
      <c r="G975">
        <v>0</v>
      </c>
      <c r="H975">
        <v>0</v>
      </c>
      <c r="I975">
        <v>0</v>
      </c>
      <c r="J975">
        <v>0</v>
      </c>
      <c r="K975">
        <v>0</v>
      </c>
      <c r="L975">
        <v>1</v>
      </c>
      <c r="M975">
        <v>1</v>
      </c>
      <c r="N975">
        <v>1</v>
      </c>
      <c r="O975">
        <v>1</v>
      </c>
      <c r="P975">
        <v>1</v>
      </c>
      <c r="Q975">
        <v>1</v>
      </c>
      <c r="R975">
        <v>1</v>
      </c>
      <c r="S975">
        <v>1</v>
      </c>
    </row>
    <row r="976" spans="1:19" x14ac:dyDescent="0.25">
      <c r="A976" s="1">
        <v>0.62820075231481487</v>
      </c>
      <c r="B976" t="s">
        <v>2</v>
      </c>
      <c r="C976">
        <v>975</v>
      </c>
      <c r="D976">
        <v>0</v>
      </c>
      <c r="E976">
        <v>1</v>
      </c>
      <c r="F976">
        <v>0</v>
      </c>
      <c r="G976">
        <v>0</v>
      </c>
      <c r="H976">
        <v>0</v>
      </c>
      <c r="I976">
        <v>0</v>
      </c>
      <c r="J976">
        <v>0</v>
      </c>
      <c r="K976">
        <v>0</v>
      </c>
      <c r="L976">
        <v>1</v>
      </c>
      <c r="M976">
        <v>1</v>
      </c>
      <c r="N976">
        <v>1</v>
      </c>
      <c r="O976">
        <v>1</v>
      </c>
      <c r="P976">
        <v>1</v>
      </c>
      <c r="Q976">
        <v>1</v>
      </c>
      <c r="R976">
        <v>1</v>
      </c>
      <c r="S976">
        <v>1</v>
      </c>
    </row>
    <row r="977" spans="1:19" x14ac:dyDescent="0.25">
      <c r="A977" s="1">
        <v>0.62820086805555553</v>
      </c>
      <c r="B977" t="s">
        <v>2</v>
      </c>
      <c r="C977">
        <v>976</v>
      </c>
      <c r="D977">
        <v>0</v>
      </c>
      <c r="E977">
        <v>1</v>
      </c>
      <c r="F977">
        <v>0</v>
      </c>
      <c r="G977">
        <v>0</v>
      </c>
      <c r="H977">
        <v>0</v>
      </c>
      <c r="I977">
        <v>0</v>
      </c>
      <c r="J977">
        <v>0</v>
      </c>
      <c r="K977">
        <v>0</v>
      </c>
      <c r="L977">
        <v>1</v>
      </c>
      <c r="M977">
        <v>1</v>
      </c>
      <c r="N977">
        <v>1</v>
      </c>
      <c r="O977">
        <v>1</v>
      </c>
      <c r="P977">
        <v>1</v>
      </c>
      <c r="Q977">
        <v>1</v>
      </c>
      <c r="R977">
        <v>1</v>
      </c>
      <c r="S977">
        <v>1</v>
      </c>
    </row>
    <row r="978" spans="1:19" x14ac:dyDescent="0.25">
      <c r="A978" s="1">
        <v>0.62820097222222226</v>
      </c>
      <c r="B978" t="s">
        <v>1</v>
      </c>
      <c r="C978">
        <v>977</v>
      </c>
      <c r="D978">
        <v>0</v>
      </c>
      <c r="E978">
        <v>0</v>
      </c>
      <c r="F978">
        <v>0</v>
      </c>
      <c r="G978">
        <v>0</v>
      </c>
      <c r="H978">
        <v>0</v>
      </c>
      <c r="I978">
        <v>0</v>
      </c>
      <c r="J978">
        <v>0</v>
      </c>
      <c r="K978">
        <v>0</v>
      </c>
      <c r="L978">
        <v>1</v>
      </c>
      <c r="M978">
        <v>1</v>
      </c>
      <c r="N978">
        <v>1</v>
      </c>
      <c r="O978">
        <v>1</v>
      </c>
      <c r="P978">
        <v>1</v>
      </c>
      <c r="Q978">
        <v>1</v>
      </c>
      <c r="R978">
        <v>1</v>
      </c>
      <c r="S978">
        <v>1</v>
      </c>
    </row>
    <row r="979" spans="1:19" x14ac:dyDescent="0.25">
      <c r="A979" s="1">
        <v>0.62820108796296292</v>
      </c>
      <c r="B979" t="s">
        <v>1</v>
      </c>
      <c r="C979">
        <v>978</v>
      </c>
      <c r="D979">
        <v>0</v>
      </c>
      <c r="E979">
        <v>0</v>
      </c>
      <c r="F979">
        <v>0</v>
      </c>
      <c r="G979">
        <v>0</v>
      </c>
      <c r="H979">
        <v>0</v>
      </c>
      <c r="I979">
        <v>0</v>
      </c>
      <c r="J979">
        <v>0</v>
      </c>
      <c r="K979">
        <v>0</v>
      </c>
      <c r="L979">
        <v>1</v>
      </c>
      <c r="M979">
        <v>1</v>
      </c>
      <c r="N979">
        <v>1</v>
      </c>
      <c r="O979">
        <v>1</v>
      </c>
      <c r="P979">
        <v>1</v>
      </c>
      <c r="Q979">
        <v>1</v>
      </c>
      <c r="R979">
        <v>1</v>
      </c>
      <c r="S979">
        <v>1</v>
      </c>
    </row>
    <row r="980" spans="1:19" x14ac:dyDescent="0.25">
      <c r="A980" s="1">
        <v>0.62820120370370369</v>
      </c>
      <c r="B980" t="s">
        <v>1</v>
      </c>
      <c r="C980">
        <v>979</v>
      </c>
      <c r="D980">
        <v>0</v>
      </c>
      <c r="E980">
        <v>0</v>
      </c>
      <c r="F980">
        <v>0</v>
      </c>
      <c r="G980">
        <v>0</v>
      </c>
      <c r="H980">
        <v>0</v>
      </c>
      <c r="I980">
        <v>0</v>
      </c>
      <c r="J980">
        <v>0</v>
      </c>
      <c r="K980">
        <v>0</v>
      </c>
      <c r="L980">
        <v>1</v>
      </c>
      <c r="M980">
        <v>1</v>
      </c>
      <c r="N980">
        <v>1</v>
      </c>
      <c r="O980">
        <v>1</v>
      </c>
      <c r="P980">
        <v>1</v>
      </c>
      <c r="Q980">
        <v>1</v>
      </c>
      <c r="R980">
        <v>1</v>
      </c>
      <c r="S980">
        <v>1</v>
      </c>
    </row>
    <row r="981" spans="1:19" x14ac:dyDescent="0.25">
      <c r="A981" s="1">
        <v>0.62820131944444446</v>
      </c>
      <c r="B981" t="s">
        <v>1</v>
      </c>
      <c r="C981">
        <v>980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1</v>
      </c>
      <c r="M981">
        <v>1</v>
      </c>
      <c r="N981">
        <v>1</v>
      </c>
      <c r="O981">
        <v>1</v>
      </c>
      <c r="P981">
        <v>1</v>
      </c>
      <c r="Q981">
        <v>1</v>
      </c>
      <c r="R981">
        <v>1</v>
      </c>
      <c r="S981">
        <v>1</v>
      </c>
    </row>
    <row r="982" spans="1:19" x14ac:dyDescent="0.25">
      <c r="A982" s="1">
        <v>0.62820144675925926</v>
      </c>
      <c r="B982" t="s">
        <v>1</v>
      </c>
      <c r="C982">
        <v>981</v>
      </c>
      <c r="D982">
        <v>0</v>
      </c>
      <c r="E982">
        <v>0</v>
      </c>
      <c r="F982">
        <v>0</v>
      </c>
      <c r="G982">
        <v>0</v>
      </c>
      <c r="H982">
        <v>0</v>
      </c>
      <c r="I982">
        <v>0</v>
      </c>
      <c r="J982">
        <v>0</v>
      </c>
      <c r="K982">
        <v>0</v>
      </c>
      <c r="L982">
        <v>1</v>
      </c>
      <c r="M982">
        <v>1</v>
      </c>
      <c r="N982">
        <v>1</v>
      </c>
      <c r="O982">
        <v>1</v>
      </c>
      <c r="P982">
        <v>1</v>
      </c>
      <c r="Q982">
        <v>1</v>
      </c>
      <c r="R982">
        <v>1</v>
      </c>
      <c r="S982">
        <v>1</v>
      </c>
    </row>
    <row r="983" spans="1:19" x14ac:dyDescent="0.25">
      <c r="A983" s="1">
        <v>0.62820156250000003</v>
      </c>
      <c r="B983" t="s">
        <v>1</v>
      </c>
      <c r="C983">
        <v>982</v>
      </c>
      <c r="D983">
        <v>0</v>
      </c>
      <c r="E983">
        <v>0</v>
      </c>
      <c r="F983">
        <v>0</v>
      </c>
      <c r="G983">
        <v>0</v>
      </c>
      <c r="H983">
        <v>0</v>
      </c>
      <c r="I983">
        <v>0</v>
      </c>
      <c r="J983">
        <v>0</v>
      </c>
      <c r="K983">
        <v>0</v>
      </c>
      <c r="L983">
        <v>1</v>
      </c>
      <c r="M983">
        <v>1</v>
      </c>
      <c r="N983">
        <v>1</v>
      </c>
      <c r="O983">
        <v>1</v>
      </c>
      <c r="P983">
        <v>1</v>
      </c>
      <c r="Q983">
        <v>1</v>
      </c>
      <c r="R983">
        <v>1</v>
      </c>
      <c r="S983">
        <v>1</v>
      </c>
    </row>
    <row r="984" spans="1:19" x14ac:dyDescent="0.25">
      <c r="A984" s="1">
        <v>0.62820166666666666</v>
      </c>
      <c r="B984" t="s">
        <v>1</v>
      </c>
      <c r="C984">
        <v>983</v>
      </c>
      <c r="D984">
        <v>0</v>
      </c>
      <c r="E984">
        <v>0</v>
      </c>
      <c r="F984">
        <v>0</v>
      </c>
      <c r="G984">
        <v>0</v>
      </c>
      <c r="H984">
        <v>0</v>
      </c>
      <c r="I984">
        <v>0</v>
      </c>
      <c r="J984">
        <v>0</v>
      </c>
      <c r="K984">
        <v>0</v>
      </c>
      <c r="L984">
        <v>1</v>
      </c>
      <c r="M984">
        <v>1</v>
      </c>
      <c r="N984">
        <v>1</v>
      </c>
      <c r="O984">
        <v>1</v>
      </c>
      <c r="P984">
        <v>1</v>
      </c>
      <c r="Q984">
        <v>1</v>
      </c>
      <c r="R984">
        <v>1</v>
      </c>
      <c r="S984">
        <v>1</v>
      </c>
    </row>
    <row r="985" spans="1:19" x14ac:dyDescent="0.25">
      <c r="A985" s="1">
        <v>0.62820178240740743</v>
      </c>
      <c r="B985" t="s">
        <v>1</v>
      </c>
      <c r="C985">
        <v>984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0</v>
      </c>
      <c r="J985">
        <v>0</v>
      </c>
      <c r="K985">
        <v>0</v>
      </c>
      <c r="L985">
        <v>1</v>
      </c>
      <c r="M985">
        <v>1</v>
      </c>
      <c r="N985">
        <v>1</v>
      </c>
      <c r="O985">
        <v>1</v>
      </c>
      <c r="P985">
        <v>1</v>
      </c>
      <c r="Q985">
        <v>1</v>
      </c>
      <c r="R985">
        <v>1</v>
      </c>
      <c r="S985">
        <v>1</v>
      </c>
    </row>
    <row r="986" spans="1:19" x14ac:dyDescent="0.25">
      <c r="A986" s="1">
        <v>0.62820190972222223</v>
      </c>
      <c r="B986" t="s">
        <v>1</v>
      </c>
      <c r="C986">
        <v>985</v>
      </c>
      <c r="D986">
        <v>0</v>
      </c>
      <c r="E986">
        <v>0</v>
      </c>
      <c r="F986">
        <v>0</v>
      </c>
      <c r="G986">
        <v>0</v>
      </c>
      <c r="H986">
        <v>0</v>
      </c>
      <c r="I986">
        <v>0</v>
      </c>
      <c r="J986">
        <v>0</v>
      </c>
      <c r="K986">
        <v>0</v>
      </c>
      <c r="L986">
        <v>1</v>
      </c>
      <c r="M986">
        <v>1</v>
      </c>
      <c r="N986">
        <v>1</v>
      </c>
      <c r="O986">
        <v>1</v>
      </c>
      <c r="P986">
        <v>1</v>
      </c>
      <c r="Q986">
        <v>1</v>
      </c>
      <c r="R986">
        <v>1</v>
      </c>
      <c r="S986">
        <v>1</v>
      </c>
    </row>
    <row r="987" spans="1:19" x14ac:dyDescent="0.25">
      <c r="A987" s="1">
        <v>0.62820201388888885</v>
      </c>
      <c r="B987" t="s">
        <v>1</v>
      </c>
      <c r="C987">
        <v>986</v>
      </c>
      <c r="D987">
        <v>0</v>
      </c>
      <c r="E987">
        <v>0</v>
      </c>
      <c r="F987">
        <v>0</v>
      </c>
      <c r="G987">
        <v>0</v>
      </c>
      <c r="H987">
        <v>0</v>
      </c>
      <c r="I987">
        <v>0</v>
      </c>
      <c r="J987">
        <v>0</v>
      </c>
      <c r="K987">
        <v>0</v>
      </c>
      <c r="L987">
        <v>1</v>
      </c>
      <c r="M987">
        <v>1</v>
      </c>
      <c r="N987">
        <v>1</v>
      </c>
      <c r="O987">
        <v>1</v>
      </c>
      <c r="P987">
        <v>1</v>
      </c>
      <c r="Q987">
        <v>1</v>
      </c>
      <c r="R987">
        <v>1</v>
      </c>
      <c r="S987">
        <v>1</v>
      </c>
    </row>
    <row r="988" spans="1:19" x14ac:dyDescent="0.25">
      <c r="A988" s="1">
        <v>0.62820212962962962</v>
      </c>
      <c r="B988" t="s">
        <v>1</v>
      </c>
      <c r="C988">
        <v>987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1</v>
      </c>
      <c r="M988">
        <v>1</v>
      </c>
      <c r="N988">
        <v>1</v>
      </c>
      <c r="O988">
        <v>1</v>
      </c>
      <c r="P988">
        <v>1</v>
      </c>
      <c r="Q988">
        <v>1</v>
      </c>
      <c r="R988">
        <v>1</v>
      </c>
      <c r="S988">
        <v>1</v>
      </c>
    </row>
    <row r="989" spans="1:19" x14ac:dyDescent="0.25">
      <c r="A989" s="1">
        <v>0.62820224537037039</v>
      </c>
      <c r="B989" t="s">
        <v>1</v>
      </c>
      <c r="C989">
        <v>988</v>
      </c>
      <c r="D989">
        <v>0</v>
      </c>
      <c r="E989">
        <v>0</v>
      </c>
      <c r="F989">
        <v>0</v>
      </c>
      <c r="G989">
        <v>0</v>
      </c>
      <c r="H989">
        <v>0</v>
      </c>
      <c r="I989">
        <v>0</v>
      </c>
      <c r="J989">
        <v>0</v>
      </c>
      <c r="K989">
        <v>0</v>
      </c>
      <c r="L989">
        <v>1</v>
      </c>
      <c r="M989">
        <v>1</v>
      </c>
      <c r="N989">
        <v>1</v>
      </c>
      <c r="O989">
        <v>1</v>
      </c>
      <c r="P989">
        <v>1</v>
      </c>
      <c r="Q989">
        <v>1</v>
      </c>
      <c r="R989">
        <v>1</v>
      </c>
      <c r="S989">
        <v>1</v>
      </c>
    </row>
    <row r="990" spans="1:19" x14ac:dyDescent="0.25">
      <c r="A990" s="1">
        <v>0.62820236111111116</v>
      </c>
      <c r="B990" t="s">
        <v>1</v>
      </c>
      <c r="C990">
        <v>989</v>
      </c>
      <c r="D990">
        <v>0</v>
      </c>
      <c r="E990">
        <v>0</v>
      </c>
      <c r="F990">
        <v>0</v>
      </c>
      <c r="G990">
        <v>0</v>
      </c>
      <c r="H990">
        <v>0</v>
      </c>
      <c r="I990">
        <v>0</v>
      </c>
      <c r="J990">
        <v>0</v>
      </c>
      <c r="K990">
        <v>0</v>
      </c>
      <c r="L990">
        <v>1</v>
      </c>
      <c r="M990">
        <v>1</v>
      </c>
      <c r="N990">
        <v>1</v>
      </c>
      <c r="O990">
        <v>1</v>
      </c>
      <c r="P990">
        <v>1</v>
      </c>
      <c r="Q990">
        <v>1</v>
      </c>
      <c r="R990">
        <v>1</v>
      </c>
      <c r="S990">
        <v>1</v>
      </c>
    </row>
    <row r="991" spans="1:19" x14ac:dyDescent="0.25">
      <c r="A991" s="1">
        <v>0.62820247685185182</v>
      </c>
      <c r="B991" t="s">
        <v>1</v>
      </c>
      <c r="C991">
        <v>990</v>
      </c>
      <c r="D991">
        <v>0</v>
      </c>
      <c r="E991">
        <v>0</v>
      </c>
      <c r="F991">
        <v>0</v>
      </c>
      <c r="G991">
        <v>0</v>
      </c>
      <c r="H991">
        <v>0</v>
      </c>
      <c r="I991">
        <v>0</v>
      </c>
      <c r="J991">
        <v>0</v>
      </c>
      <c r="K991">
        <v>0</v>
      </c>
      <c r="L991">
        <v>1</v>
      </c>
      <c r="M991">
        <v>1</v>
      </c>
      <c r="N991">
        <v>1</v>
      </c>
      <c r="O991">
        <v>1</v>
      </c>
      <c r="P991">
        <v>1</v>
      </c>
      <c r="Q991">
        <v>1</v>
      </c>
      <c r="R991">
        <v>1</v>
      </c>
      <c r="S991">
        <v>1</v>
      </c>
    </row>
    <row r="992" spans="1:19" x14ac:dyDescent="0.25">
      <c r="A992" s="1">
        <v>0.62820259259259259</v>
      </c>
      <c r="B992" t="s">
        <v>1</v>
      </c>
      <c r="C992">
        <v>991</v>
      </c>
      <c r="D992">
        <v>0</v>
      </c>
      <c r="E992">
        <v>0</v>
      </c>
      <c r="F992">
        <v>0</v>
      </c>
      <c r="G992">
        <v>0</v>
      </c>
      <c r="H992">
        <v>0</v>
      </c>
      <c r="I992">
        <v>0</v>
      </c>
      <c r="J992">
        <v>0</v>
      </c>
      <c r="K992">
        <v>0</v>
      </c>
      <c r="L992">
        <v>1</v>
      </c>
      <c r="M992">
        <v>1</v>
      </c>
      <c r="N992">
        <v>1</v>
      </c>
      <c r="O992">
        <v>1</v>
      </c>
      <c r="P992">
        <v>1</v>
      </c>
      <c r="Q992">
        <v>1</v>
      </c>
      <c r="R992">
        <v>1</v>
      </c>
      <c r="S992">
        <v>1</v>
      </c>
    </row>
    <row r="993" spans="1:19" x14ac:dyDescent="0.25">
      <c r="A993" s="1">
        <v>0.62820270833333336</v>
      </c>
      <c r="B993" t="s">
        <v>1</v>
      </c>
      <c r="C993">
        <v>992</v>
      </c>
      <c r="D993">
        <v>0</v>
      </c>
      <c r="E993">
        <v>0</v>
      </c>
      <c r="F993">
        <v>0</v>
      </c>
      <c r="G993">
        <v>0</v>
      </c>
      <c r="H993">
        <v>0</v>
      </c>
      <c r="I993">
        <v>0</v>
      </c>
      <c r="J993">
        <v>0</v>
      </c>
      <c r="K993">
        <v>0</v>
      </c>
      <c r="L993">
        <v>1</v>
      </c>
      <c r="M993">
        <v>1</v>
      </c>
      <c r="N993">
        <v>1</v>
      </c>
      <c r="O993">
        <v>1</v>
      </c>
      <c r="P993">
        <v>1</v>
      </c>
      <c r="Q993">
        <v>1</v>
      </c>
      <c r="R993">
        <v>1</v>
      </c>
      <c r="S993">
        <v>1</v>
      </c>
    </row>
    <row r="994" spans="1:19" x14ac:dyDescent="0.25">
      <c r="A994" s="1">
        <v>0.62820282407407413</v>
      </c>
      <c r="B994" t="s">
        <v>1</v>
      </c>
      <c r="C994">
        <v>993</v>
      </c>
      <c r="D994">
        <v>0</v>
      </c>
      <c r="E994">
        <v>0</v>
      </c>
      <c r="F994">
        <v>0</v>
      </c>
      <c r="G994">
        <v>0</v>
      </c>
      <c r="H994">
        <v>0</v>
      </c>
      <c r="I994">
        <v>0</v>
      </c>
      <c r="J994">
        <v>0</v>
      </c>
      <c r="K994">
        <v>0</v>
      </c>
      <c r="L994">
        <v>1</v>
      </c>
      <c r="M994">
        <v>1</v>
      </c>
      <c r="N994">
        <v>1</v>
      </c>
      <c r="O994">
        <v>1</v>
      </c>
      <c r="P994">
        <v>1</v>
      </c>
      <c r="Q994">
        <v>1</v>
      </c>
      <c r="R994">
        <v>1</v>
      </c>
      <c r="S994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8E51663-81DF-41A2-AE12-A550CD67B4A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Phân tích IN_1 &amp; IN_2 (2)</vt:lpstr>
      <vt:lpstr>IN_2 Analysis (3)</vt:lpstr>
      <vt:lpstr>IN_2 Analysis (2)</vt:lpstr>
      <vt:lpstr>Phân tích IN_1 &amp; IN_2</vt:lpstr>
      <vt:lpstr>mau do toc 300</vt:lpstr>
      <vt:lpstr>mau do toc 200</vt:lpstr>
      <vt:lpstr>mau do toc 100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Nguyen Duc Binh</dc:creator>
  <cp:lastModifiedBy>Nguyen Duc Binh</cp:lastModifiedBy>
  <dcterms:created xsi:type="dcterms:W3CDTF">2026-04-08T06:54:41Z</dcterms:created>
  <dcterms:modified xsi:type="dcterms:W3CDTF">2026-04-08T09:58:43Z</dcterms:modified>
</cp:coreProperties>
</file>